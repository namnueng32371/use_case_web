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F6E6E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2" borderId="1" pivotButton="0" quotePrefix="0" xfId="0"/>
    <xf numFmtId="0" fontId="8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1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32" customWidth="1" min="3" max="3"/>
    <col width="18" customWidth="1" min="4" max="4"/>
    <col width="18" customWidth="1" min="5" max="5"/>
    <col width="30" customWidth="1" min="6" max="6"/>
    <col width="28" customWidth="1" min="7" max="7"/>
    <col width="32" customWidth="1" min="8" max="8"/>
    <col width="40" customWidth="1" min="9" max="9"/>
    <col width="40" customWidth="1" min="10" max="10"/>
    <col width="40" customWidth="1" min="11" max="11"/>
    <col width="40" customWidth="1" min="12" max="12"/>
    <col width="38" customWidth="1" min="13" max="13"/>
    <col width="40" customWidth="1" min="14" max="14"/>
    <col width="40" customWidth="1" min="15" max="15"/>
    <col width="34" customWidth="1" min="16" max="16"/>
    <col width="40" customWidth="1" min="17" max="17"/>
    <col width="40" customWidth="1" min="18" max="18"/>
    <col width="42" customWidth="1" min="19" max="19"/>
    <col width="34" customWidth="1" min="20" max="20"/>
    <col width="42" customWidth="1" min="21" max="21"/>
    <col width="40" customWidth="1" min="22" max="22"/>
    <col width="36" customWidth="1" min="23" max="23"/>
    <col width="30" customWidth="1" min="24" max="24"/>
    <col width="20" customWidth="1" min="25" max="25"/>
    <col width="26" customWidth="1" min="26" max="26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9" t="inlineStr">
        <is>
          <t>อ้างอิงระบบคุณภาพ (QWP / SQP)</t>
        </is>
      </c>
      <c r="G4" s="10" t="n"/>
      <c r="H4" s="10" t="n"/>
      <c r="I4" s="11" t="inlineStr">
        <is>
          <t>ผลกระทบ (Impact)</t>
        </is>
      </c>
      <c r="J4" s="12" t="n"/>
      <c r="K4" s="12" t="n"/>
      <c r="L4" s="12" t="n"/>
      <c r="M4" s="12" t="n"/>
      <c r="N4" s="13" t="inlineStr">
        <is>
          <t>ความพร้อมข้อมูล (Data)</t>
        </is>
      </c>
      <c r="O4" s="14" t="n"/>
      <c r="P4" s="14" t="n"/>
      <c r="Q4" s="14" t="n"/>
      <c r="R4" s="14" t="n"/>
      <c r="S4" s="15" t="inlineStr">
        <is>
          <t>ความเป็นไปได้ (Feasibility)</t>
        </is>
      </c>
      <c r="T4" s="16" t="n"/>
      <c r="U4" s="17" t="inlineStr">
        <is>
          <t>ความเสี่ยง (Risk)</t>
        </is>
      </c>
      <c r="V4" s="18" t="n"/>
      <c r="W4" s="18" t="n"/>
      <c r="X4" s="19" t="inlineStr">
        <is>
          <t>แผน</t>
        </is>
      </c>
      <c r="Y4" s="20" t="n"/>
      <c r="Z4" s="20" t="n"/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บริษัท</t>
        </is>
      </c>
      <c r="D5" s="21" t="inlineStr">
        <is>
          <t>หน่วยงานที่ใช้งาน</t>
        </is>
      </c>
      <c r="E5" s="21" t="inlineStr">
        <is>
          <t>ผู้รับผิดชอบ (Owner)</t>
        </is>
      </c>
      <c r="F5" s="21" t="inlineStr">
        <is>
          <t>เอกสาร QWP ที่อ้างอิง
(รหัส / ชื่อเอกสาร)</t>
        </is>
      </c>
      <c r="G5" s="21" t="inlineStr">
        <is>
          <t>ตัวชี้วัด kQI / QI ที่เกี่ยวข้อง</t>
        </is>
      </c>
      <c r="H5" s="21" t="inlineStr">
        <is>
          <t>ขั้นตอนใน SQP ที่เกี่ยวข้อง</t>
        </is>
      </c>
      <c r="I5" s="21" t="inlineStr">
        <is>
          <t>ปัญหาหรือข้อจำกัดของงานในปัจจุบัน</t>
        </is>
      </c>
      <c r="J5" s="21" t="inlineStr">
        <is>
          <t>วิธีการปฏิบัติงานในปัจจุบัน
(Existing Work)</t>
        </is>
      </c>
      <c r="K5" s="21" t="inlineStr">
        <is>
          <t>แนวทางการทำงานหลังนำ AI มาใช้
(Description for Redesign)</t>
        </is>
      </c>
      <c r="L5" s="21" t="inlineStr">
        <is>
          <t>ปริมาณเวลาที่ใช้กับงานนี้ในปัจจุบัน
(รวมทุกคนในหน่วยงาน)</t>
        </is>
      </c>
      <c r="M5" s="21" t="inlineStr">
        <is>
          <t>มูลค่าความสูญเสียต่อปี
(ของเสีย เคลม งานแก้ไข ค่าปรับ)</t>
        </is>
      </c>
      <c r="N5" s="21" t="inlineStr">
        <is>
          <t>ข้อมูลที่มีอยู่ในปัจจุบัน
(Data Available)</t>
        </is>
      </c>
      <c r="O5" s="21" t="inlineStr">
        <is>
          <t>รูปแบบการจัดเก็บข้อมูลในปัจจุบัน</t>
        </is>
      </c>
      <c r="P5" s="21" t="inlineStr">
        <is>
          <t>ระยะเวลาข้อมูลย้อนหลังที่มี</t>
        </is>
      </c>
      <c r="Q5" s="21" t="inlineStr">
        <is>
          <t>ปริมาณข้อมูลโดยประมาณ
นับเป็นรายการ : ภาพ / ใบ / ไฟล์ / ครั้ง / ล็อต
(เฉพาะข้อมูลที่ทราบผลลัพธ์แล้ว)</t>
        </is>
      </c>
      <c r="R5" s="21" t="inlineStr">
        <is>
          <t>สิทธิ์ในการนำข้อมูลมาใช้พัฒนา AI</t>
        </is>
      </c>
      <c r="S5" s="21" t="inlineStr">
        <is>
          <t>ความจำเป็นในการเชื่อมต่อกับระบบเดิม
(ERP / MES / ระบบที่ใช้งานอยู่)</t>
        </is>
      </c>
      <c r="T5" s="21" t="inlineStr">
        <is>
          <t>ผู้ดูแลระบบหลังส่งมอบ</t>
        </is>
      </c>
      <c r="U5" s="21" t="inlineStr">
        <is>
          <t>ผลกระทบเมื่อ AI ให้ผลลัพธ์ผิดพลาด</t>
        </is>
      </c>
      <c r="V5" s="21" t="inlineStr">
        <is>
          <t>ความจำเป็นในการตรวจสอบผลลัพธ์โดยบุคลากร</t>
        </is>
      </c>
      <c r="W5" s="21" t="inlineStr">
        <is>
          <t>ระดับชั้นความลับของข้อมูล</t>
        </is>
      </c>
      <c r="X5" s="21" t="inlineStr">
        <is>
          <t>ระดับความสำคัญตามความเห็นหน่วยงาน
(ไม่นำไปคิดคะแนน)</t>
        </is>
      </c>
      <c r="Y5" s="21" t="inlineStr">
        <is>
          <t>กำหนดเวลาที่ต้องการใช้งาน
(ไตรมาส / ปี)</t>
        </is>
      </c>
      <c r="Z5" s="21" t="inlineStr">
        <is>
          <t>หมายเหตุ</t>
        </is>
      </c>
    </row>
    <row r="6" ht="58" customHeight="1">
      <c r="A6" s="22" t="n">
        <v>1</v>
      </c>
      <c r="B6" s="22" t="inlineStr">
        <is>
          <t>Auto Inspection ตรวจคุณภาพชิ้นงานด้วย Machine Learning</t>
        </is>
      </c>
      <c r="C6" s="22" t="inlineStr">
        <is>
          <t>S.K.Polymer</t>
        </is>
      </c>
      <c r="D6" s="22" t="inlineStr">
        <is>
          <t>Production</t>
        </is>
      </c>
      <c r="E6" s="22" t="inlineStr">
        <is>
          <t>คุณสมชาย</t>
        </is>
      </c>
      <c r="F6" s="22" t="inlineStr">
        <is>
          <t>QWP-PRD-012 ตรวจสอบคุณภาพชิ้นงานก่อนส่งมอบ</t>
        </is>
      </c>
      <c r="G6" s="22" t="inlineStr">
        <is>
          <t>kQI-2 อัตราของเสียที่หลุดถึงลูกค้า</t>
        </is>
      </c>
      <c r="H6" s="22" t="inlineStr">
        <is>
          <t>ขั้นตอนที่ 4 ตรวจสอบชิ้นงานหลังถอดจากแม่พิมพ์</t>
        </is>
      </c>
      <c r="I6" s="22" t="inlineStr">
        <is>
          <t>พนักงาน QC ตรวจชิ้นงานด้วยสายตา เกิดความล้าในช่วงบ่าย ทำให้ของเสียหลุดถึงลูกค้าเดือนละ 2-3 ครั้ง</t>
        </is>
      </c>
      <c r="J6" s="22" t="inlineStr">
        <is>
          <t>พนักงาน QC 3 คน ผลัดกันตรวจทุกล็อตด้วยสายตา เทียบกับชิ้นงานตัวอย่างมาตรฐาน และบันทึกผลลงแบบฟอร์มกระดาษ</t>
        </is>
      </c>
      <c r="K6" s="22" t="inlineStr">
        <is>
          <t>ติดตั้งกล้องที่สายพาน ให้ AI คัดแยกชิ้นงานดีและเสียอัตโนมัติแบบทันที ชิ้นงานที่ AI ไม่มั่นใจจึงส่งให้บุคลากรตรวจซ้ำ และบันทึกผลเข้าระบบแทนกระดาษ</t>
        </is>
      </c>
      <c r="L6" s="22" t="inlineStr">
        <is>
          <t>มากกว่า 40 ชั่วโมง/สัปดาห์ (มากกว่า 1 คนเต็มเวลา)</t>
        </is>
      </c>
      <c r="M6" s="22" t="inlineStr">
        <is>
          <t>500,000 - 2,000,000 บาท/ปี</t>
        </is>
      </c>
      <c r="N6" s="22" t="inlineStr">
        <is>
          <t>มีภาพถ่ายชิ้นงานดีและเสียจัดเก็บไว้ในโทรศัพท์ของหัวหน้ากะ ประมาณ 2 ปี และแบบฟอร์มบันทึกผลตรวจแบบกระดาษ</t>
        </is>
      </c>
      <c r="O6" s="22" t="inlineStr">
        <is>
          <t>ภาพถ่าย / ไฟล์รูปภาพ</t>
        </is>
      </c>
      <c r="P6" s="22" t="inlineStr">
        <is>
          <t>1 - 3 ปี - เพียงพอในระดับหนึ่ง</t>
        </is>
      </c>
      <c r="Q6" s="22" t="inlineStr">
        <is>
          <t>ประมาณ 4,000 ภาพ (ดี 3,000 / เสีย 1,000)</t>
        </is>
      </c>
      <c r="R6" s="22" t="inlineStr">
        <is>
          <t>ได้ทันที - ข้อมูลอยู่ในความดูแลของหน่วยงาน</t>
        </is>
      </c>
      <c r="S6" s="22" t="inlineStr">
        <is>
          <t>ไม่จำเป็น - ระบบทำงานแยกอิสระได้</t>
        </is>
      </c>
      <c r="T6" s="22" t="inlineStr">
        <is>
          <t>มี - หน่วยงานมีผู้รับผิดชอบดูแลต่อ (ระบุชื่อในหมายเหตุ)</t>
        </is>
      </c>
      <c r="U6" s="22" t="inlineStr">
        <is>
          <t>สูง - ของเสียถึงมือลูกค้า เกิดอันตราย หรือผิดข้อกำหนดกฎหมาย</t>
        </is>
      </c>
      <c r="V6" s="22" t="inlineStr">
        <is>
          <t>สุ่มตรวจบางส่วน - เฉพาะรายการที่ AI ไม่มั่นใจ</t>
        </is>
      </c>
      <c r="W6" s="22" t="inlineStr">
        <is>
          <t>ภายในองค์กร - ห้ามเผยแพร่ออกนอกบริษัท</t>
        </is>
      </c>
      <c r="X6" s="22" t="inlineStr">
        <is>
          <t>สูง - ต้องการเร่งด่วน</t>
        </is>
      </c>
      <c r="Y6" s="22" t="inlineStr">
        <is>
          <t>ไตรมาส 2 ปี 2570</t>
        </is>
      </c>
      <c r="Z6" s="22" t="inlineStr">
        <is>
          <t>คุณสมชายผ่านการอบรม Python มาแล้ว</t>
        </is>
      </c>
    </row>
    <row r="7" ht="40" customHeight="1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40" customHeight="1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40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 ht="40" customHeight="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 ht="40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 ht="40" customHeight="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40" customHeight="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40" customHeight="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40" customHeight="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40" customHeight="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40" customHeight="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40" customHeight="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40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40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40" customHeight="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40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40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40" customHeight="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4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40" customHeight="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40" customHeight="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40" customHeight="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40" customHeight="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40" customHeight="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40" customHeight="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40" customHeigh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40" customHeigh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40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40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40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</sheetData>
  <mergeCells count="9">
    <mergeCell ref="I4:M4"/>
    <mergeCell ref="N4:R4"/>
    <mergeCell ref="A4:E4"/>
    <mergeCell ref="A1:Z1"/>
    <mergeCell ref="U4:W4"/>
    <mergeCell ref="F4:H4"/>
    <mergeCell ref="X4:Z4"/>
    <mergeCell ref="A2:Z2"/>
    <mergeCell ref="S4:T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DATA!$A$4:$A$9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ในปัจจุบัน" prompt="เวลาที่คนใช้ทำงานนี้ด้วยวิธีเดิม รวมทุกคนในหน่วยงาน&#10;&#10;เช่น 3 คน คนละ 6 ชั่วโมง/สัปดาห์ = 18 ชั่วโมง/สัปดาห์&#10;&#10;ยังไม่ได้ใช้ AI ช่วย" type="list">
      <formula1>DATA!$R$4:$R$8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สูญเสียต่อปี" prompt="ความสูญเสียที่เกิดจากปัญหานี้ในปัจจุบัน&#10;&#10;ถ้าประเมินเป็นตัวเงินไม่ได้ ให้เลือกตัวเลือกแรก&#10;ระบบจะใช้เฉพาะชั่วโมงคิดคะแนน ไม่ได้หักคะแนน" type="list">
      <formula1>DATA!$S$4:$S$8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จัดเก็บข้อมูลปัจจุบัน" prompt="ข้อมูลที่จะใช้พัฒนา AI เก็บอยู่ในรูปแบบไหน&#10;&#10;กระดาษ = ต้องแปลงเป็นดิจิทัลก่อน ใช้เวลาเป็นเดือน&#10;ฐานข้อมูลในระบบ = ดึงอัตโนมัติได้ เริ่มได้เร็วที่สุด" type="list">
      <formula1>DATA!$B$4:$B$9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ข้อมูลย้อนหลังที่มี" prompt="มีข้อมูลเก็บย้อนหลังมานานแค่ไหน&#10;&#10;ยิ่งนาน ยิ่งมีตัวอย่างให้ AI เรียนรู้มาก&#10;แต่ต้องดูปริมาณด้วย 3 ปีที่มีปีละ 10 รายการ ก็ยังไม่พอ" type="list">
      <formula1>DATA!$C$4:$C$7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ในการนำข้อมูลมาใช้" prompt="ไม่ได้ถามว่ามีข้อมูลมั้ย แต่ถามว่าขอมาใช้ได้จริงมั้ย&#10;&#10;เจอบ่อยว่ามีข้อมูลครบแต่ใช้ไม่ได้ เพราะเป็นของลูกค้า&#10;ที่มีสัญญา หรืออยู่ในเครื่องจักรที่ผู้ขายล็อกไว้" type="list">
      <formula1>DATA!$D$4:$D$6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เชื่อมต่อกับระบบเดิม" prompt="ลองถามตัวเองว่า ถ้า export เป็นไฟล์มาให้ AI ทุกเช้า&#10;แล้วเอาผลไปกรอกเข้าระบบเองทีหลัง งานนี้ยังใช้ได้มั้ย&#10;&#10;ถ้าใช้ได้ = เลือก จำเป็นบางส่วน&#10;ถ้าต้องอัตโนมัติทันทีเท่านั้น = เลือก จำเป็น" type="list">
      <formula1>DATA!$E$4:$E$7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ดูแลระบบหลังส่งมอบ" prompt="มีคนในหน่วยงานรับดูแลระบบต่อหลังส่งมอบหรือไม่&#10;&#10;เป็นตัวชี้ขาดว่าระบบจะอยู่รอดหลังโครงการจบ&#10;ถ้ามี ระบุชื่อไว้ในช่องหมายเหตุด้วย" type="list">
      <formula1>DATA!$F$4:$F$6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 AI ผิดพลาด" prompt="ถ้า AI ให้ผลผิด จะเกิดผลกระทบระดับไหน&#10;&#10;chatbot ตอบผิด ต่างจากตรวจคุณภาพผิดแล้วส่งของเสียถึงลูกค้า" type="list">
      <formula1>DATA!$G$4:$G$6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ตรวจสอบผลลัพธ์โดยบุคลากร" prompt="เลือกจากรายการ — กดลูกศรด้านขวาของช่อง" type="list">
      <formula1>DATA!$H$4:$H$6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ชั้นความลับของข้อมูล" prompt="ช่องนี้ถูกใช้ 2 ที่&#10;&#10;คิดคะแนนความเสี่ยง&#10;และกำหนดว่าต้องเข้ารหัส จำกัดสิทธิ์ และเก็บ log ระดับไหน" type="list">
      <formula1>DATA!$I$4:$I$7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ความสำคัญตามความเห็นผู้ใช้" prompt="ความเห็นของหน่วยงาน ไม่ได้นำไปคิดคะแนน&#10;&#10;เก็บไว้เทียบกับคะแนนที่ระบบคำนวณ&#10;ถ้าต่างกันมาก แปลว่าต้องคุยกันว่าเพราะอะไร" type="list">
      <formula1>DATA!$J$4:$J$6</formula1>
    </dataValidation>
    <dataValidation sqref="I7:I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J7:J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K7:K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N7:N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Q7:Q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44" customWidth="1" min="4" max="4"/>
    <col width="26" customWidth="1" min="5" max="5"/>
    <col width="26" customWidth="1" min="6" max="6"/>
    <col width="22" customWidth="1" min="7" max="7"/>
    <col width="26" customWidth="1" min="8" max="8"/>
    <col width="46" customWidth="1" min="9" max="9"/>
    <col width="34" customWidth="1" min="10" max="10"/>
    <col width="22" customWidth="1" min="11" max="11"/>
    <col width="44" customWidth="1" min="12" max="12"/>
    <col width="28" customWidth="1" min="13" max="13"/>
    <col width="44" customWidth="1" min="14" max="14"/>
    <col width="40" customWidth="1" min="15" max="15"/>
    <col width="20" customWidth="1" min="16" max="16"/>
    <col width="32" customWidth="1" min="17" max="17"/>
    <col width="20" customWidth="1" min="18" max="18"/>
    <col width="24" customWidth="1" min="19" max="19"/>
    <col width="32" customWidth="1" min="20" max="20"/>
    <col width="24" customWidth="1" min="21" max="21"/>
    <col width="44" customWidth="1" min="22" max="22"/>
    <col width="44" customWidth="1" min="23" max="23"/>
    <col width="34" customWidth="1" min="24" max="24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11" t="inlineStr">
        <is>
          <t>โซน A : ปริมาณงาน  (หน่วยงานผู้ใช้กรอก)</t>
        </is>
      </c>
      <c r="E4" s="12" t="n"/>
      <c r="F4" s="12" t="n"/>
      <c r="G4" s="12" t="n"/>
      <c r="H4" s="12" t="n"/>
      <c r="I4" s="12" t="n"/>
      <c r="J4" s="12" t="n"/>
      <c r="K4" s="15" t="inlineStr">
        <is>
          <t>โซน A : ความต้องการใช้งาน  (หน่วยงานผู้ใช้กรอก)</t>
        </is>
      </c>
      <c r="L4" s="16" t="n"/>
      <c r="M4" s="16" t="n"/>
      <c r="N4" s="16" t="n"/>
      <c r="O4" s="19" t="inlineStr">
        <is>
          <t>โซน A : ข้อกำหนดและงบประมาณ  (หน่วยงานผู้ใช้กรอก)</t>
        </is>
      </c>
      <c r="P4" s="20" t="n"/>
      <c r="Q4" s="20" t="n"/>
      <c r="R4" s="20" t="n"/>
      <c r="S4" s="9" t="inlineStr">
        <is>
          <t>โซน B : ทีม AI / IT ดำเนินการภายหลัง — หน่วยงานผู้ใช้ไม่ต้องกรอก</t>
        </is>
      </c>
      <c r="T4" s="10" t="n"/>
      <c r="U4" s="10" t="n"/>
      <c r="V4" s="10" t="n"/>
      <c r="W4" s="10" t="n"/>
      <c r="X4" s="10" t="n"/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หน่วยงานที่ใช้งาน</t>
        </is>
      </c>
      <c r="D5" s="21" t="inlineStr">
        <is>
          <t>ลักษณะการเริ่มทำงานของระบบ</t>
        </is>
      </c>
      <c r="E5" s="21" t="inlineStr">
        <is>
          <t>ประเภทข้อมูลนำเข้า (Input)</t>
        </is>
      </c>
      <c r="F5" s="21" t="inlineStr">
        <is>
          <t>ประเภทงาน AI
(ระบบคำนวณให้จากช่องซ้าย)</t>
        </is>
      </c>
      <c r="G5" s="21" t="inlineStr">
        <is>
          <t>จำนวนผู้ใช้งานต่อวัน</t>
        </is>
      </c>
      <c r="H5" s="21" t="inlineStr">
        <is>
          <t>จำนวนผู้ใช้งานพร้อมกันสูงสุด
(Peak Concurrent)</t>
        </is>
      </c>
      <c r="I5" s="21" t="inlineStr">
        <is>
          <t>ปริมาณรายการที่ต้องประมวลผลต่อวัน
1 รายการ = 1 ชิ้น / ล็อต / คำถาม / เคส แล้วแต่ประเภทงาน</t>
        </is>
      </c>
      <c r="J5" s="21" t="inlineStr">
        <is>
          <t>จำนวนจุดตรวจหรือกล้องที่ทำงานพร้อมกัน
(งานประมวลผลภาพ)</t>
        </is>
      </c>
      <c r="K5" s="21" t="inlineStr">
        <is>
          <t>ภาษาที่ต้องรองรับ</t>
        </is>
      </c>
      <c r="L5" s="21" t="inlineStr">
        <is>
          <t>เวลาตอบสนองที่ยอมรับได้</t>
        </is>
      </c>
      <c r="M5" s="21" t="inlineStr">
        <is>
          <t>ช่วงเวลาที่ต้องให้บริการ</t>
        </is>
      </c>
      <c r="N5" s="21" t="inlineStr">
        <is>
          <t>ผลกระทบเมื่อระบบตอบสนองช้าลง
ในช่วงที่มีการใช้งานหนาแน่น</t>
        </is>
      </c>
      <c r="O5" s="21" t="inlineStr">
        <is>
          <t>ระยะเวลาการจัดเก็บข้อมูล</t>
        </is>
      </c>
      <c r="P5" s="21" t="inlineStr">
        <is>
          <t>งบประมาณที่ตั้งไว้ (บาท)
หากมี</t>
        </is>
      </c>
      <c r="Q5" s="21" t="inlineStr">
        <is>
          <t>ข้อจำกัดอื่นๆ และหมายเหตุ</t>
        </is>
      </c>
      <c r="R5" s="21" t="inlineStr">
        <is>
          <t>ผู้ให้ข้อมูล (หน่วยงาน)</t>
        </is>
      </c>
      <c r="S5" s="21" t="inlineStr">
        <is>
          <t>ปริมาณข้อมูลนำเข้าต่อวัน</t>
        </is>
      </c>
      <c r="T5" s="21" t="inlineStr">
        <is>
          <t>ขนาดคลังเอกสารทั้งหมด
(สำหรับงานสืบค้น / RAG)</t>
        </is>
      </c>
      <c r="U5" s="21" t="inlineStr">
        <is>
          <t>ความละเอียดของภาพ</t>
        </is>
      </c>
      <c r="V5" s="21" t="inlineStr">
        <is>
          <t>รูปแบบการติดตั้ง
(Server ภายในองค์กรเท่านั้น)</t>
        </is>
      </c>
      <c r="W5" s="21" t="inlineStr">
        <is>
          <t>ความจำเป็นในการปรับโมเดล
ด้วยข้อมูลขององค์กร</t>
        </is>
      </c>
      <c r="X5" s="21" t="inlineStr">
        <is>
          <t>ความถี่ในการฝึกโมเดลใหม่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2" t="inlineStr">
        <is>
          <t>ทำงานอัตโนมัติต่อเนื่อง - ระบบทำงานเอง ไม่มีผู้เรียกใช้</t>
        </is>
      </c>
      <c r="E6" s="22" t="inlineStr">
        <is>
          <t>ภาพถ่าย</t>
        </is>
      </c>
      <c r="F6" s="24">
        <f>IF($E6="","",IF($E6="ข้อความ / เอกสาร","งานภาษา (LLM)",IF($E6="ภาพถ่าย","งานภาพ (Vision)",IF($E6="เสียง","งานเสียง",IF($E6="วิดีโอ","งานภาพ (Vision)",IF($E6="ตัวเลข / ตาราง","งานตัวเลข (ML)",IF($E6="ผสมหลายประเภท","ผสม - ต้องดูรายละเอียด","")))))))</f>
        <v/>
      </c>
      <c r="G6" s="22" t="inlineStr">
        <is>
          <t>1 - 10 คน</t>
        </is>
      </c>
      <c r="H6" s="22" t="inlineStr">
        <is>
          <t>1 - 2 คน</t>
        </is>
      </c>
      <c r="I6" s="22" t="inlineStr">
        <is>
          <t>1,000 - 10,000 รายการ</t>
        </is>
      </c>
      <c r="J6" s="22" t="inlineStr">
        <is>
          <t>2 - 3 จุด</t>
        </is>
      </c>
      <c r="K6" s="22" t="inlineStr">
        <is>
          <t>ไม่เกี่ยวข้องกับภาษา</t>
        </is>
      </c>
      <c r="L6" s="22" t="inlineStr">
        <is>
          <t>ทันที - ไม่เกิน 2 วินาที (ตอบกลับในกระบวนการทันที)</t>
        </is>
      </c>
      <c r="M6" s="22" t="inlineStr">
        <is>
          <t>เวลาทำการ 8:00 - 18:00 น.</t>
        </is>
      </c>
      <c r="N6" s="22" t="inlineStr">
        <is>
          <t>กระทบมาก - ไม่สามารถล่าช้าหรือหยุดได้ (อยู่ในสายการผลิต)</t>
        </is>
      </c>
      <c r="O6" s="22" t="inlineStr">
        <is>
          <t>2 - 3 ปี</t>
        </is>
      </c>
      <c r="P6" s="22" t="n">
        <v>500000</v>
      </c>
      <c r="Q6" s="22" t="inlineStr">
        <is>
          <t>ต้องติดตั้งกล้องที่สายพานเดิม พื้นที่ติดตั้งจำกัด</t>
        </is>
      </c>
      <c r="R6" s="22" t="inlineStr">
        <is>
          <t>คุณสมชาย</t>
        </is>
      </c>
      <c r="S6" s="25" t="inlineStr">
        <is>
          <t>1 - 10 GB</t>
        </is>
      </c>
      <c r="T6" s="25" t="inlineStr">
        <is>
          <t>ไม่เกี่ยวข้อง - ไม่ใช่งานสืบค้นเอกสาร</t>
        </is>
      </c>
      <c r="U6" s="25" t="inlineStr">
        <is>
          <t>1 - 5 ล้านพิกเซล</t>
        </is>
      </c>
      <c r="V6" s="25" t="inlineStr">
        <is>
          <t>ต้องติดตั้งที่หน้างาน - ติดตั้งข้างเครื่องจักรหรือสายพาน</t>
        </is>
      </c>
      <c r="W6" s="25" t="inlineStr">
        <is>
          <t>จำเป็น - ต้อง Fine-tune ด้วยข้อมูลหรือภาพขององค์กร</t>
        </is>
      </c>
      <c r="X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3" t="n"/>
      <c r="E7" s="23" t="n"/>
      <c r="F7" s="26">
        <f>IF($E7="","",IF($E7="ข้อความ / เอกสาร","งานภาษา (LLM)",IF($E7="ภาพถ่าย","งานภาพ (Vision)",IF($E7="เสียง","งานเสียง",IF($E7="วิดีโอ","งานภาพ (Vision)",IF($E7="ตัวเลข / ตาราง","งานตัวเลข (ML)",IF($E7="ผสมหลายประเภท","ผสม - ต้องดูรายละเอียด","")))))))</f>
        <v/>
      </c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7" t="n"/>
      <c r="U7" s="27" t="n"/>
      <c r="V7" s="27" t="n"/>
      <c r="W7" s="27" t="n"/>
      <c r="X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3" t="n"/>
      <c r="E8" s="23" t="n"/>
      <c r="F8" s="26">
        <f>IF($E8="","",IF($E8="ข้อความ / เอกสาร","งานภาษา (LLM)",IF($E8="ภาพถ่าย","งานภาพ (Vision)",IF($E8="เสียง","งานเสียง",IF($E8="วิดีโอ","งานภาพ (Vision)",IF($E8="ตัวเลข / ตาราง","งานตัวเลข (ML)",IF($E8="ผสมหลายประเภท","ผสม - ต้องดูรายละเอียด","")))))))</f>
        <v/>
      </c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7" t="n"/>
      <c r="U8" s="27" t="n"/>
      <c r="V8" s="27" t="n"/>
      <c r="W8" s="27" t="n"/>
      <c r="X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3" t="n"/>
      <c r="E9" s="23" t="n"/>
      <c r="F9" s="26">
        <f>IF($E9="","",IF($E9="ข้อความ / เอกสาร","งานภาษา (LLM)",IF($E9="ภาพถ่าย","งานภาพ (Vision)",IF($E9="เสียง","งานเสียง",IF($E9="วิดีโอ","งานภาพ (Vision)",IF($E9="ตัวเลข / ตาราง","งานตัวเลข (ML)",IF($E9="ผสมหลายประเภท","ผสม - ต้องดูรายละเอียด","")))))))</f>
        <v/>
      </c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7" t="n"/>
      <c r="U9" s="27" t="n"/>
      <c r="V9" s="27" t="n"/>
      <c r="W9" s="27" t="n"/>
      <c r="X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3" t="n"/>
      <c r="E10" s="23" t="n"/>
      <c r="F10" s="26">
        <f>IF($E10="","",IF($E10="ข้อความ / เอกสาร","งานภาษา (LLM)",IF($E10="ภาพถ่าย","งานภาพ (Vision)",IF($E10="เสียง","งานเสียง",IF($E10="วิดีโอ","งานภาพ (Vision)",IF($E10="ตัวเลข / ตาราง","งานตัวเลข (ML)",IF($E10="ผสมหลายประเภท","ผสม - ต้องดูรายละเอียด","")))))))</f>
        <v/>
      </c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7" t="n"/>
      <c r="U10" s="27" t="n"/>
      <c r="V10" s="27" t="n"/>
      <c r="W10" s="27" t="n"/>
      <c r="X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3" t="n"/>
      <c r="E11" s="23" t="n"/>
      <c r="F11" s="26">
        <f>IF($E11="","",IF($E11="ข้อความ / เอกสาร","งานภาษา (LLM)",IF($E11="ภาพถ่าย","งานภาพ (Vision)",IF($E11="เสียง","งานเสียง",IF($E11="วิดีโอ","งานภาพ (Vision)",IF($E11="ตัวเลข / ตาราง","งานตัวเลข (ML)",IF($E11="ผสมหลายประเภท","ผสม - ต้องดูรายละเอียด","")))))))</f>
        <v/>
      </c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7" t="n"/>
      <c r="U11" s="27" t="n"/>
      <c r="V11" s="27" t="n"/>
      <c r="W11" s="27" t="n"/>
      <c r="X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3" t="n"/>
      <c r="E12" s="23" t="n"/>
      <c r="F12" s="26">
        <f>IF($E12="","",IF($E12="ข้อความ / เอกสาร","งานภาษา (LLM)",IF($E12="ภาพถ่าย","งานภาพ (Vision)",IF($E12="เสียง","งานเสียง",IF($E12="วิดีโอ","งานภาพ (Vision)",IF($E12="ตัวเลข / ตาราง","งานตัวเลข (ML)",IF($E12="ผสมหลายประเภท","ผสม - ต้องดูรายละเอียด","")))))))</f>
        <v/>
      </c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7" t="n"/>
      <c r="U12" s="27" t="n"/>
      <c r="V12" s="27" t="n"/>
      <c r="W12" s="27" t="n"/>
      <c r="X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3" t="n"/>
      <c r="E13" s="23" t="n"/>
      <c r="F13" s="26">
        <f>IF($E13="","",IF($E13="ข้อความ / เอกสาร","งานภาษา (LLM)",IF($E13="ภาพถ่าย","งานภาพ (Vision)",IF($E13="เสียง","งานเสียง",IF($E13="วิดีโอ","งานภาพ (Vision)",IF($E13="ตัวเลข / ตาราง","งานตัวเลข (ML)",IF($E13="ผสมหลายประเภท","ผสม - ต้องดูรายละเอียด","")))))))</f>
        <v/>
      </c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7" t="n"/>
      <c r="U13" s="27" t="n"/>
      <c r="V13" s="27" t="n"/>
      <c r="W13" s="27" t="n"/>
      <c r="X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3" t="n"/>
      <c r="E14" s="23" t="n"/>
      <c r="F14" s="26">
        <f>IF($E14="","",IF($E14="ข้อความ / เอกสาร","งานภาษา (LLM)",IF($E14="ภาพถ่าย","งานภาพ (Vision)",IF($E14="เสียง","งานเสียง",IF($E14="วิดีโอ","งานภาพ (Vision)",IF($E14="ตัวเลข / ตาราง","งานตัวเลข (ML)",IF($E14="ผสมหลายประเภท","ผสม - ต้องดูรายละเอียด","")))))))</f>
        <v/>
      </c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7" t="n"/>
      <c r="U14" s="27" t="n"/>
      <c r="V14" s="27" t="n"/>
      <c r="W14" s="27" t="n"/>
      <c r="X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3" t="n"/>
      <c r="E15" s="23" t="n"/>
      <c r="F15" s="26">
        <f>IF($E15="","",IF($E15="ข้อความ / เอกสาร","งานภาษา (LLM)",IF($E15="ภาพถ่าย","งานภาพ (Vision)",IF($E15="เสียง","งานเสียง",IF($E15="วิดีโอ","งานภาพ (Vision)",IF($E15="ตัวเลข / ตาราง","งานตัวเลข (ML)",IF($E15="ผสมหลายประเภท","ผสม - ต้องดูรายละเอียด","")))))))</f>
        <v/>
      </c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7" t="n"/>
      <c r="U15" s="27" t="n"/>
      <c r="V15" s="27" t="n"/>
      <c r="W15" s="27" t="n"/>
      <c r="X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3" t="n"/>
      <c r="E16" s="23" t="n"/>
      <c r="F16" s="26">
        <f>IF($E16="","",IF($E16="ข้อความ / เอกสาร","งานภาษา (LLM)",IF($E16="ภาพถ่าย","งานภาพ (Vision)",IF($E16="เสียง","งานเสียง",IF($E16="วิดีโอ","งานภาพ (Vision)",IF($E16="ตัวเลข / ตาราง","งานตัวเลข (ML)",IF($E16="ผสมหลายประเภท","ผสม - ต้องดูรายละเอียด","")))))))</f>
        <v/>
      </c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7" t="n"/>
      <c r="U16" s="27" t="n"/>
      <c r="V16" s="27" t="n"/>
      <c r="W16" s="27" t="n"/>
      <c r="X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3" t="n"/>
      <c r="E17" s="23" t="n"/>
      <c r="F17" s="26">
        <f>IF($E17="","",IF($E17="ข้อความ / เอกสาร","งานภาษา (LLM)",IF($E17="ภาพถ่าย","งานภาพ (Vision)",IF($E17="เสียง","งานเสียง",IF($E17="วิดีโอ","งานภาพ (Vision)",IF($E17="ตัวเลข / ตาราง","งานตัวเลข (ML)",IF($E17="ผสมหลายประเภท","ผสม - ต้องดูรายละเอียด","")))))))</f>
        <v/>
      </c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7" t="n"/>
      <c r="U17" s="27" t="n"/>
      <c r="V17" s="27" t="n"/>
      <c r="W17" s="27" t="n"/>
      <c r="X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3" t="n"/>
      <c r="E18" s="23" t="n"/>
      <c r="F18" s="26">
        <f>IF($E18="","",IF($E18="ข้อความ / เอกสาร","งานภาษา (LLM)",IF($E18="ภาพถ่าย","งานภาพ (Vision)",IF($E18="เสียง","งานเสียง",IF($E18="วิดีโอ","งานภาพ (Vision)",IF($E18="ตัวเลข / ตาราง","งานตัวเลข (ML)",IF($E18="ผสมหลายประเภท","ผสม - ต้องดูรายละเอียด","")))))))</f>
        <v/>
      </c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7" t="n"/>
      <c r="U18" s="27" t="n"/>
      <c r="V18" s="27" t="n"/>
      <c r="W18" s="27" t="n"/>
      <c r="X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3" t="n"/>
      <c r="E19" s="23" t="n"/>
      <c r="F19" s="26">
        <f>IF($E19="","",IF($E19="ข้อความ / เอกสาร","งานภาษา (LLM)",IF($E19="ภาพถ่าย","งานภาพ (Vision)",IF($E19="เสียง","งานเสียง",IF($E19="วิดีโอ","งานภาพ (Vision)",IF($E19="ตัวเลข / ตาราง","งานตัวเลข (ML)",IF($E19="ผสมหลายประเภท","ผสม - ต้องดูรายละเอียด","")))))))</f>
        <v/>
      </c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7" t="n"/>
      <c r="U19" s="27" t="n"/>
      <c r="V19" s="27" t="n"/>
      <c r="W19" s="27" t="n"/>
      <c r="X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3" t="n"/>
      <c r="E20" s="23" t="n"/>
      <c r="F20" s="26">
        <f>IF($E20="","",IF($E20="ข้อความ / เอกสาร","งานภาษา (LLM)",IF($E20="ภาพถ่าย","งานภาพ (Vision)",IF($E20="เสียง","งานเสียง",IF($E20="วิดีโอ","งานภาพ (Vision)",IF($E20="ตัวเลข / ตาราง","งานตัวเลข (ML)",IF($E20="ผสมหลายประเภท","ผสม - ต้องดูรายละเอียด","")))))))</f>
        <v/>
      </c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7" t="n"/>
      <c r="U20" s="27" t="n"/>
      <c r="V20" s="27" t="n"/>
      <c r="W20" s="27" t="n"/>
      <c r="X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3" t="n"/>
      <c r="E21" s="23" t="n"/>
      <c r="F21" s="26">
        <f>IF($E21="","",IF($E21="ข้อความ / เอกสาร","งานภาษา (LLM)",IF($E21="ภาพถ่าย","งานภาพ (Vision)",IF($E21="เสียง","งานเสียง",IF($E21="วิดีโอ","งานภาพ (Vision)",IF($E21="ตัวเลข / ตาราง","งานตัวเลข (ML)",IF($E21="ผสมหลายประเภท","ผสม - ต้องดูรายละเอียด","")))))))</f>
        <v/>
      </c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7" t="n"/>
      <c r="U21" s="27" t="n"/>
      <c r="V21" s="27" t="n"/>
      <c r="W21" s="27" t="n"/>
      <c r="X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3" t="n"/>
      <c r="E22" s="23" t="n"/>
      <c r="F22" s="26">
        <f>IF($E22="","",IF($E22="ข้อความ / เอกสาร","งานภาษา (LLM)",IF($E22="ภาพถ่าย","งานภาพ (Vision)",IF($E22="เสียง","งานเสียง",IF($E22="วิดีโอ","งานภาพ (Vision)",IF($E22="ตัวเลข / ตาราง","งานตัวเลข (ML)",IF($E22="ผสมหลายประเภท","ผสม - ต้องดูรายละเอียด","")))))))</f>
        <v/>
      </c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7" t="n"/>
      <c r="U22" s="27" t="n"/>
      <c r="V22" s="27" t="n"/>
      <c r="W22" s="27" t="n"/>
      <c r="X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3" t="n"/>
      <c r="E23" s="23" t="n"/>
      <c r="F23" s="26">
        <f>IF($E23="","",IF($E23="ข้อความ / เอกสาร","งานภาษา (LLM)",IF($E23="ภาพถ่าย","งานภาพ (Vision)",IF($E23="เสียง","งานเสียง",IF($E23="วิดีโอ","งานภาพ (Vision)",IF($E23="ตัวเลข / ตาราง","งานตัวเลข (ML)",IF($E23="ผสมหลายประเภท","ผสม - ต้องดูรายละเอียด","")))))))</f>
        <v/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7" t="n"/>
      <c r="U23" s="27" t="n"/>
      <c r="V23" s="27" t="n"/>
      <c r="W23" s="27" t="n"/>
      <c r="X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3" t="n"/>
      <c r="E24" s="23" t="n"/>
      <c r="F24" s="26">
        <f>IF($E24="","",IF($E24="ข้อความ / เอกสาร","งานภาษา (LLM)",IF($E24="ภาพถ่าย","งานภาพ (Vision)",IF($E24="เสียง","งานเสียง",IF($E24="วิดีโอ","งานภาพ (Vision)",IF($E24="ตัวเลข / ตาราง","งานตัวเลข (ML)",IF($E24="ผสมหลายประเภท","ผสม - ต้องดูรายละเอียด","")))))))</f>
        <v/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7" t="n"/>
      <c r="U24" s="27" t="n"/>
      <c r="V24" s="27" t="n"/>
      <c r="W24" s="27" t="n"/>
      <c r="X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3" t="n"/>
      <c r="E25" s="23" t="n"/>
      <c r="F25" s="26">
        <f>IF($E25="","",IF($E25="ข้อความ / เอกสาร","งานภาษา (LLM)",IF($E25="ภาพถ่าย","งานภาพ (Vision)",IF($E25="เสียง","งานเสียง",IF($E25="วิดีโอ","งานภาพ (Vision)",IF($E25="ตัวเลข / ตาราง","งานตัวเลข (ML)",IF($E25="ผสมหลายประเภท","ผสม - ต้องดูรายละเอียด","")))))))</f>
        <v/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7" t="n"/>
      <c r="U25" s="27" t="n"/>
      <c r="V25" s="27" t="n"/>
      <c r="W25" s="27" t="n"/>
      <c r="X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3" t="n"/>
      <c r="E26" s="23" t="n"/>
      <c r="F26" s="26">
        <f>IF($E26="","",IF($E26="ข้อความ / เอกสาร","งานภาษา (LLM)",IF($E26="ภาพถ่าย","งานภาพ (Vision)",IF($E26="เสียง","งานเสียง",IF($E26="วิดีโอ","งานภาพ (Vision)",IF($E26="ตัวเลข / ตาราง","งานตัวเลข (ML)",IF($E26="ผสมหลายประเภท","ผสม - ต้องดูรายละเอียด","")))))))</f>
        <v/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7" t="n"/>
      <c r="U26" s="27" t="n"/>
      <c r="V26" s="27" t="n"/>
      <c r="W26" s="27" t="n"/>
      <c r="X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3" t="n"/>
      <c r="E27" s="23" t="n"/>
      <c r="F27" s="26">
        <f>IF($E27="","",IF($E27="ข้อความ / เอกสาร","งานภาษา (LLM)",IF($E27="ภาพถ่าย","งานภาพ (Vision)",IF($E27="เสียง","งานเสียง",IF($E27="วิดีโอ","งานภาพ (Vision)",IF($E27="ตัวเลข / ตาราง","งานตัวเลข (ML)",IF($E27="ผสมหลายประเภท","ผสม - ต้องดูรายละเอียด","")))))))</f>
        <v/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7" t="n"/>
      <c r="U27" s="27" t="n"/>
      <c r="V27" s="27" t="n"/>
      <c r="W27" s="27" t="n"/>
      <c r="X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3" t="n"/>
      <c r="E28" s="23" t="n"/>
      <c r="F28" s="26">
        <f>IF($E28="","",IF($E28="ข้อความ / เอกสาร","งานภาษา (LLM)",IF($E28="ภาพถ่าย","งานภาพ (Vision)",IF($E28="เสียง","งานเสียง",IF($E28="วิดีโอ","งานภาพ (Vision)",IF($E28="ตัวเลข / ตาราง","งานตัวเลข (ML)",IF($E28="ผสมหลายประเภท","ผสม - ต้องดูรายละเอียด","")))))))</f>
        <v/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7" t="n"/>
      <c r="U28" s="27" t="n"/>
      <c r="V28" s="27" t="n"/>
      <c r="W28" s="27" t="n"/>
      <c r="X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3" t="n"/>
      <c r="E29" s="23" t="n"/>
      <c r="F29" s="26">
        <f>IF($E29="","",IF($E29="ข้อความ / เอกสาร","งานภาษา (LLM)",IF($E29="ภาพถ่าย","งานภาพ (Vision)",IF($E29="เสียง","งานเสียง",IF($E29="วิดีโอ","งานภาพ (Vision)",IF($E29="ตัวเลข / ตาราง","งานตัวเลข (ML)",IF($E29="ผสมหลายประเภท","ผสม - ต้องดูรายละเอียด","")))))))</f>
        <v/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7" t="n"/>
      <c r="U29" s="27" t="n"/>
      <c r="V29" s="27" t="n"/>
      <c r="W29" s="27" t="n"/>
      <c r="X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3" t="n"/>
      <c r="E30" s="23" t="n"/>
      <c r="F30" s="26">
        <f>IF($E30="","",IF($E30="ข้อความ / เอกสาร","งานภาษา (LLM)",IF($E30="ภาพถ่าย","งานภาพ (Vision)",IF($E30="เสียง","งานเสียง",IF($E30="วิดีโอ","งานภาพ (Vision)",IF($E30="ตัวเลข / ตาราง","งานตัวเลข (ML)",IF($E30="ผสมหลายประเภท","ผสม - ต้องดูรายละเอียด","")))))))</f>
        <v/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7" t="n"/>
      <c r="U30" s="27" t="n"/>
      <c r="V30" s="27" t="n"/>
      <c r="W30" s="27" t="n"/>
      <c r="X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3" t="n"/>
      <c r="E31" s="23" t="n"/>
      <c r="F31" s="26">
        <f>IF($E31="","",IF($E31="ข้อความ / เอกสาร","งานภาษา (LLM)",IF($E31="ภาพถ่าย","งานภาพ (Vision)",IF($E31="เสียง","งานเสียง",IF($E31="วิดีโอ","งานภาพ (Vision)",IF($E31="ตัวเลข / ตาราง","งานตัวเลข (ML)",IF($E31="ผสมหลายประเภท","ผสม - ต้องดูรายละเอียด","")))))))</f>
        <v/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7" t="n"/>
      <c r="U31" s="27" t="n"/>
      <c r="V31" s="27" t="n"/>
      <c r="W31" s="27" t="n"/>
      <c r="X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3" t="n"/>
      <c r="E32" s="23" t="n"/>
      <c r="F32" s="26">
        <f>IF($E32="","",IF($E32="ข้อความ / เอกสาร","งานภาษา (LLM)",IF($E32="ภาพถ่าย","งานภาพ (Vision)",IF($E32="เสียง","งานเสียง",IF($E32="วิดีโอ","งานภาพ (Vision)",IF($E32="ตัวเลข / ตาราง","งานตัวเลข (ML)",IF($E32="ผสมหลายประเภท","ผสม - ต้องดูรายละเอียด","")))))))</f>
        <v/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7" t="n"/>
      <c r="U32" s="27" t="n"/>
      <c r="V32" s="27" t="n"/>
      <c r="W32" s="27" t="n"/>
      <c r="X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3" t="n"/>
      <c r="E33" s="23" t="n"/>
      <c r="F33" s="26">
        <f>IF($E33="","",IF($E33="ข้อความ / เอกสาร","งานภาษา (LLM)",IF($E33="ภาพถ่าย","งานภาพ (Vision)",IF($E33="เสียง","งานเสียง",IF($E33="วิดีโอ","งานภาพ (Vision)",IF($E33="ตัวเลข / ตาราง","งานตัวเลข (ML)",IF($E33="ผสมหลายประเภท","ผสม - ต้องดูรายละเอียด","")))))))</f>
        <v/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7" t="n"/>
      <c r="U33" s="27" t="n"/>
      <c r="V33" s="27" t="n"/>
      <c r="W33" s="27" t="n"/>
      <c r="X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3" t="n"/>
      <c r="E34" s="23" t="n"/>
      <c r="F34" s="26">
        <f>IF($E34="","",IF($E34="ข้อความ / เอกสาร","งานภาษา (LLM)",IF($E34="ภาพถ่าย","งานภาพ (Vision)",IF($E34="เสียง","งานเสียง",IF($E34="วิดีโอ","งานภาพ (Vision)",IF($E34="ตัวเลข / ตาราง","งานตัวเลข (ML)",IF($E34="ผสมหลายประเภท","ผสม - ต้องดูรายละเอียด","")))))))</f>
        <v/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7" t="n"/>
      <c r="U34" s="27" t="n"/>
      <c r="V34" s="27" t="n"/>
      <c r="W34" s="27" t="n"/>
      <c r="X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3" t="n"/>
      <c r="E35" s="23" t="n"/>
      <c r="F35" s="26">
        <f>IF($E35="","",IF($E35="ข้อความ / เอกสาร","งานภาษา (LLM)",IF($E35="ภาพถ่าย","งานภาพ (Vision)",IF($E35="เสียง","งานเสียง",IF($E35="วิดีโอ","งานภาพ (Vision)",IF($E35="ตัวเลข / ตาราง","งานตัวเลข (ML)",IF($E35="ผสมหลายประเภท","ผสม - ต้องดูรายละเอียด","")))))))</f>
        <v/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7" t="n"/>
      <c r="U35" s="27" t="n"/>
      <c r="V35" s="27" t="n"/>
      <c r="W35" s="27" t="n"/>
      <c r="X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3" t="n"/>
      <c r="E36" s="23" t="n"/>
      <c r="F36" s="26">
        <f>IF($E36="","",IF($E36="ข้อความ / เอกสาร","งานภาษา (LLM)",IF($E36="ภาพถ่าย","งานภาพ (Vision)",IF($E36="เสียง","งานเสียง",IF($E36="วิดีโอ","งานภาพ (Vision)",IF($E36="ตัวเลข / ตาราง","งานตัวเลข (ML)",IF($E36="ผสมหลายประเภท","ผสม - ต้องดูรายละเอียด","")))))))</f>
        <v/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7" t="n"/>
      <c r="U36" s="27" t="n"/>
      <c r="V36" s="27" t="n"/>
      <c r="W36" s="27" t="n"/>
      <c r="X36" s="27" t="n"/>
    </row>
  </sheetData>
  <mergeCells count="7">
    <mergeCell ref="D4:J4"/>
    <mergeCell ref="K4:N4"/>
    <mergeCell ref="O4:R4"/>
    <mergeCell ref="A2:X2"/>
    <mergeCell ref="S4:X4"/>
    <mergeCell ref="A1:X1"/>
    <mergeCell ref="A4:C4"/>
  </mergeCells>
  <conditionalFormatting sqref="H7:H36">
    <cfRule type="expression" priority="1" dxfId="0">
      <formula>OR(AND($G7="1 - 10 คน",OR($H7="6 - 20 คน",$H7="21 - 50 คน",$H7="มากกว่า 50 คน")),AND($G7="11 - 50 คน",OR($H7="มากกว่า 50 คน")))</formula>
    </cfRule>
  </conditionalFormatting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ลักษณะการเริ่มทำงานของระบบ" prompt="ตอบก่อนช่องอื่น เพราะเป็นตัวบอกว่าช่องที่เหลือต้องกรอกยังไง&#10;&#10;งานที่ระบบสั่งเอง จะไม่มี 'ผู้ใช้งาน' — ให้กรอกคนที่เข้ามาดูผลแทน" type="list">
      <formula1>DATA!$AE$4:$AE$7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นำเข้า" prompt="ข้อมูลหลักที่ AI ต้องอ่านหรือดูคืออะไร&#10;&#10;ภาพ / วิดีโอ = ต้องใช้ GPU แน่นอน&#10;ตัวเลข / ตาราง = CPU ก็เพียงพอ&#10;&#10;ช่องถัดไปจะสรุปประเภทงาน AI ให้เองจากคำตอบช่องนี้" type="list">
      <formula1>DATA!$K$4:$K$9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ผู้ใช้งานต่อวัน" prompt="นับคนทั้งหมดที่เข้ามาใช้ตลอดทั้งวัน ไม่ใช่พร้อมกัน&#10;&#10;ถ้าเป็นงานอัตโนมัติหรือรันตามรอบ ให้นับคนที่เข้ามาดูผล" type="list">
      <formula1>DATA!$T$4:$T$8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ใช้งานพร้อมกันสูงสุด" prompt="ช่วงที่คนใช้เยอะที่สุดของวัน มีกี่คนกดพร้อมกัน&#10;&#10;ต้องไม่เกินจำนวนผู้ใช้งานต่อวัน&#10;งานอัตโนมัติหรือรันตามรอบ มักเป็น 1 - 2 คน&#10;&#10;ถ้าขึ้นพื้นสีแดง = ตัวเลขดูสูงผิดปกติ ควรทบทวน" type="list">
      <formula1>DATA!$U$4:$U$8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รายการที่ประมวลผลต่อวัน" prompt="นับรายการที่ AI ต้องประมวลผลจริง ไม่ใช่จำนวนครั้งที่สั่งงาน&#10;&#10;ผู้ใช้เรียกเอง = กี่คำถาม&#10;อัตโนมัติ = กี่ชิ้น กี่ภาพ&#10;ตามรอบเวลา = กี่ล็อต กี่แถวในรอบนั้น&#10;&#10;รันคืนละครั้งแต่ประมวลผล 12,000 ล็อต = 12,000 ไม่ใช่ 1" type="list">
      <formula1>DATA!$V$4:$V$8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ุดตรวจที่ทำงานพร้อมกัน" prompt="นับจุดที่ต้องประมวลผลพร้อมกัน ไม่ใช่จำนวนภาพต่อวัน&#10;&#10;600 ภาพจากกล้อง 1 ตัว ใช้เครื่องเดียว&#10;600 ภาพจากกล้อง 6 ตัวที่ตรวจพร้อมกัน ต้องมี 6 สาย&#10;&#10;ช่องนี้บอกจำนวนเครื่องที่ต้องติดตั้งหน้างาน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รองรับ" prompt="เลือกจากรายการ — กดลูกศรด้านขวาของช่อง" type="list">
      <formula1>DATA!$L$4:$L$7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ตอบสนองที่ยอมรับได้" prompt="งานนี้ต้องได้ผลลัพธ์ภายในเวลาเท่าไหร่&#10;&#10;เป็นตัวชี้ขาดว่าต้องใช้ GPU หรือ CPU เพียงพอ&#10;งานที่รอถึงรอบวันได้ ประมวลผลด้วย CPU ตอนกลางคืนได้&#10;&#10;ไม่จำเป็นต้องมีคนนั่งรอ เช่น สายพานที่ต้องคัดแยกทันที" type="list">
      <formula1>DATA!$M$4:$M$8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ช่วงเวลาที่ต้องให้บริการ" prompt="ช่วงเวลาที่ระบบต้องพร้อมใช้งาน&#10;&#10;ถ้าไม่ต้องเปิด 24 ชั่วโมง ปิดเครื่องนอกเวลาได้&#10;ลดค่าไฟลงเกินครึ่ง&#10;&#10;24x7 = ต้องมีเครื่องสำรองเผื่อเครื่องหลักเสีย" type="list">
      <formula1>DATA!$N$4:$N$6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ระบบตอบสนองช้าลง" prompt="ถามผลกระทบต่องานของหน่วยงาน ไม่ใช่เรื่องเทคนิค&#10;&#10;ทีมส่วนกลางจะแปลเป็นข้อกำหนดเองว่าต้องมี GPU แยกหรือแชร์ได้&#10;&#10;งานในสายการผลิตที่หยุดไม่ได้ ให้เลือก กระทบมาก" type="list">
      <formula1>DATA!$AD$4:$AD$7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การจัดเก็บข้อมูล" prompt="เก็บข้อมูลที่เกิดใหม่ไว้นานแค่ไหน&#10;ตามข้อกำหนดของลูกค้าหรือกฎหมาย&#10;&#10;คูณกับปริมาณข้อมูลนำเข้าต่อวัน = storage ที่ต้องซื้อ&#10;10 GB/วัน เก็บ 1 ปี = 3.6 TB  |  เก็บ 5 ปี = 18 TB" type="list">
      <formula1>DATA!$AB$4:$AB$7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ข้อมูลนำเข้าต่อวัน" prompt="ข้อมูลใหม่ที่เกิดขึ้นต่อวัน ไม่ใช่ข้อมูลเดิมที่มีอยู่&#10;เปรียบเหมือนน้ำที่ไหลเข้าถังทุกวัน&#10;&#10;งานภาพจะสูง งานเอกสารจะต่ำ&#10;คูณกับระยะเวลาการจัดเก็บ = storage ที่ต้องซื้อ" type="list">
      <formula1>DATA!$W$4:$W$7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" prompt="กองเอกสารเดิมทั้งหมดที่ให้ AI ค้นหา&#10;ไม่ใช่ข้อมูลใหม่ที่เกิดต่อวัน&#10;เปรียบเหมือนขนาดถังที่มีน้ำอยู่แล้ว&#10;&#10;งานสืบค้นเอกสารจะสูง งานภาพเลือก ไม่เกี่ยวข้อง&#10;ใช้กำหนด RAM และขนาดฐานข้อมูลค้นหา" type="list">
      <formula1>DATA!$X$4:$X$8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ของภาพ" prompt="ความละเอียดของภาพจากกล้องที่จะใช้&#10;&#10;ยิ่งละเอียด ยิ่งใช้ VRAM มาก&#10;ถ้าไม่ใช่งานประมวลผลภาพ เลือก ไม่เกี่ยวข้อง" type="list">
      <formula1>DATA!$O$4:$O$8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ติดตั้ง" prompt="รันที่ Server กลาง หรือต้องมีเครื่องข้างเครื่องจักร&#10;&#10;งานที่ต้องตัดสินใจทันทีในสายการผลิต ต้องติดตั้งหน้างาน&#10;เพราะรอส่งข้อมูลไปกลับไม่ทัน และต้องต่อกับแขนคัดแยกหรือ PLC" type="list">
      <formula1>DATA!$Z$4:$Z$6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ปรับโมเดลด้วยข้อมูลองค์กร" prompt="สำเร็จรูป = งานความรู้ทั่วไป ใช้ได้ทันที&#10;RAG = ให้อ่านเอกสารองค์กร ไม่ต้องฝึกโมเดล&#10;Fine-tune = สอนด้วยข้อมูลหรือภาพของเราเอง ต้องมี GPU ฝึก&#10;&#10;งานเอกสารส่วนใหญ่ควรเลือก RAG ไม่ใช่ Fine-tune" type="list">
      <formula1>DATA!$Q$4:$Q$7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ถี่ในการฝึกโมเดลใหม่" prompt="ไม่ต้องฝึก = ใช้โมเดลสำเร็จรูปหรือ RAG&#10;ครั้งเดียว = ยังต้องฝึก 1 ครั้ง ต้องหา GPU มาฝึก&#10;ถี่กว่าเดือนละครั้ง = ควรมี GPU สำหรับฝึกแยกต่างหาก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11" t="inlineStr">
        <is>
          <t>Impact 35%</t>
        </is>
      </c>
      <c r="E4" s="12" t="n"/>
      <c r="F4" s="12" t="n"/>
      <c r="G4" s="13" t="inlineStr">
        <is>
          <t>Data 25%</t>
        </is>
      </c>
      <c r="H4" s="14" t="n"/>
      <c r="I4" s="14" t="n"/>
      <c r="J4" s="14" t="n"/>
      <c r="K4" s="15" t="inlineStr">
        <is>
          <t>Feasibility 25%</t>
        </is>
      </c>
      <c r="L4" s="16" t="n"/>
      <c r="M4" s="16" t="n"/>
      <c r="N4" s="17" t="inlineStr">
        <is>
          <t>Risk 15% (กลับด้าน)</t>
        </is>
      </c>
      <c r="O4" s="18" t="n"/>
      <c r="P4" s="18" t="n"/>
      <c r="Q4" s="18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ฝ่าย / แผนก</t>
        </is>
      </c>
      <c r="D5" s="21" t="inlineStr">
        <is>
          <t>ชม./สัปดาห์
-&gt; คะแนน</t>
        </is>
      </c>
      <c r="E5" s="21" t="inlineStr">
        <is>
          <t>มูลค่าเสียหาย
-&gt; คะแนน</t>
        </is>
      </c>
      <c r="F5" s="21" t="inlineStr">
        <is>
          <t>Impact
(1-5)</t>
        </is>
      </c>
      <c r="G5" s="21" t="inlineStr">
        <is>
          <t>รูปแบบ
ข้อมูล</t>
        </is>
      </c>
      <c r="H5" s="21" t="inlineStr">
        <is>
          <t>ย้อนหลัง</t>
        </is>
      </c>
      <c r="I5" s="21" t="inlineStr">
        <is>
          <t>สิทธิ์ใช้
ข้อมูล</t>
        </is>
      </c>
      <c r="J5" s="21" t="inlineStr">
        <is>
          <t>Data
(1-5)</t>
        </is>
      </c>
      <c r="K5" s="21" t="inlineStr">
        <is>
          <t>ระบบเดิม</t>
        </is>
      </c>
      <c r="L5" s="21" t="inlineStr">
        <is>
          <t>คนดูแล
ต่อ</t>
        </is>
      </c>
      <c r="M5" s="21" t="inlineStr">
        <is>
          <t>Feasibility
(1-5)</t>
        </is>
      </c>
      <c r="N5" s="21" t="inlineStr">
        <is>
          <t>AI ผิด</t>
        </is>
      </c>
      <c r="O5" s="21" t="inlineStr">
        <is>
          <t>ตรวจซ้ำ</t>
        </is>
      </c>
      <c r="P5" s="21" t="inlineStr">
        <is>
          <t>ความลับ</t>
        </is>
      </c>
      <c r="Q5" s="21" t="inlineStr">
        <is>
          <t>Risk
(1-5)</t>
        </is>
      </c>
      <c r="R5" s="21" t="inlineStr">
        <is>
          <t>คะแนนรวม
(20-100)</t>
        </is>
      </c>
      <c r="S5" s="21" t="inlineStr">
        <is>
          <t>ระดับ</t>
        </is>
      </c>
      <c r="T5" s="21" t="inlineStr">
        <is>
          <t>อันดับ</t>
        </is>
      </c>
      <c r="U5" s="21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ทั้งหมด'!L6,DATA!$R$4:$R$8,0)),""))</f>
        <v/>
      </c>
      <c r="E6" s="31">
        <f>IF('1-UseCase ทั้งหมด'!B6="","",IFERROR(INDEX(DATA!$S$30:$S$34,MATCH('1-UseCase ทั้งหมด'!M6,DATA!$S$4:$S$8,0)),""))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ทั้งหมด'!O6,DATA!$B$4:$B$9,0)),""))</f>
        <v/>
      </c>
      <c r="H6" s="31">
        <f>IF('1-UseCase ทั้งหมด'!B6="","",IFERROR(INDEX(DATA!$C$30:$C$33,MATCH('1-UseCase ทั้งหมด'!P6,DATA!$C$4:$C$7,0)),""))</f>
        <v/>
      </c>
      <c r="I6" s="31">
        <f>IF('1-UseCase ทั้งหมด'!B6="","",IFERROR(INDEX(DATA!$D$30:$D$32,MATCH('1-UseCase ทั้งหมด'!R6,DATA!$D$4:$D$6,0)),""))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ทั้งหมด'!S6,DATA!$E$4:$E$7,0)),""))</f>
        <v/>
      </c>
      <c r="L6" s="31">
        <f>IF('1-UseCase ทั้งหมด'!B6="","",IFERROR(INDEX(DATA!$F$30:$F$32,MATCH('1-UseCase ทั้งหมด'!T6,DATA!$F$4:$F$6,0)),""))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ทั้งหมด'!U6,DATA!$G$4:$G$6,0)),""))</f>
        <v/>
      </c>
      <c r="O6" s="31">
        <f>IF('1-UseCase ทั้งหมด'!B6="","",IFERROR(INDEX(DATA!$H$30:$H$32,MATCH('1-UseCase ทั้งหมด'!V6,DATA!$H$4:$H$6,0)),""))</f>
        <v/>
      </c>
      <c r="P6" s="31">
        <f>IF('1-UseCase ทั้งหมด'!B6="","",IFERROR(INDEX(DATA!$I$30:$I$33,MATCH('1-UseCase ทั้งหมด'!W6,DATA!$I$4:$I$7,0)),""))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ทั้งหมด'!L6)+COUNTBLANK('1-UseCase ทั้งหมด'!M6)+COUNTBLANK('1-UseCase ทั้งหมด'!O6)+COUNTBLANK('1-UseCase ทั้งหมด'!P6)+COUNTBLANK('1-UseCase ทั้งหมด'!R6)+COUNTBLANK('1-UseCase ทั้งหมด'!S6)+COUNTBLANK('1-UseCase ทั้งหมด'!T6)+COUNTBLANK('1-UseCase ทั้งหมด'!U6)+COUNTBLANK('1-UseCase ทั้งหมด'!V6)+COUNTBLANK('1-UseCase ทั้งหมด'!W6))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ทั้งหมด'!L7,DATA!$R$4:$R$8,0)),""))</f>
        <v/>
      </c>
      <c r="E7" s="34">
        <f>IF('1-UseCase ทั้งหมด'!B7="","",IFERROR(INDEX(DATA!$S$30:$S$34,MATCH('1-UseCase ทั้งหมด'!M7,DATA!$S$4:$S$8,0)),""))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ทั้งหมด'!O7,DATA!$B$4:$B$9,0)),""))</f>
        <v/>
      </c>
      <c r="H7" s="34">
        <f>IF('1-UseCase ทั้งหมด'!B7="","",IFERROR(INDEX(DATA!$C$30:$C$33,MATCH('1-UseCase ทั้งหมด'!P7,DATA!$C$4:$C$7,0)),""))</f>
        <v/>
      </c>
      <c r="I7" s="34">
        <f>IF('1-UseCase ทั้งหมด'!B7="","",IFERROR(INDEX(DATA!$D$30:$D$32,MATCH('1-UseCase ทั้งหมด'!R7,DATA!$D$4:$D$6,0)),""))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ทั้งหมด'!S7,DATA!$E$4:$E$7,0)),""))</f>
        <v/>
      </c>
      <c r="L7" s="34">
        <f>IF('1-UseCase ทั้งหมด'!B7="","",IFERROR(INDEX(DATA!$F$30:$F$32,MATCH('1-UseCase ทั้งหมด'!T7,DATA!$F$4:$F$6,0)),""))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ทั้งหมด'!U7,DATA!$G$4:$G$6,0)),""))</f>
        <v/>
      </c>
      <c r="O7" s="34">
        <f>IF('1-UseCase ทั้งหมด'!B7="","",IFERROR(INDEX(DATA!$H$30:$H$32,MATCH('1-UseCase ทั้งหมด'!V7,DATA!$H$4:$H$6,0)),""))</f>
        <v/>
      </c>
      <c r="P7" s="34">
        <f>IF('1-UseCase ทั้งหมด'!B7="","",IFERROR(INDEX(DATA!$I$30:$I$33,MATCH('1-UseCase ทั้งหมด'!W7,DATA!$I$4:$I$7,0)),""))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ทั้งหมด'!L7)+COUNTBLANK('1-UseCase ทั้งหมด'!M7)+COUNTBLANK('1-UseCase ทั้งหมด'!O7)+COUNTBLANK('1-UseCase ทั้งหมด'!P7)+COUNTBLANK('1-UseCase ทั้งหมด'!R7)+COUNTBLANK('1-UseCase ทั้งหมด'!S7)+COUNTBLANK('1-UseCase ทั้งหมด'!T7)+COUNTBLANK('1-UseCase ทั้งหมด'!U7)+COUNTBLANK('1-UseCase ทั้งหมด'!V7)+COUNTBLANK('1-UseCase ทั้งหมด'!W7))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ทั้งหมด'!L8,DATA!$R$4:$R$8,0)),""))</f>
        <v/>
      </c>
      <c r="E8" s="34">
        <f>IF('1-UseCase ทั้งหมด'!B8="","",IFERROR(INDEX(DATA!$S$30:$S$34,MATCH('1-UseCase ทั้งหมด'!M8,DATA!$S$4:$S$8,0)),""))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ทั้งหมด'!O8,DATA!$B$4:$B$9,0)),""))</f>
        <v/>
      </c>
      <c r="H8" s="34">
        <f>IF('1-UseCase ทั้งหมด'!B8="","",IFERROR(INDEX(DATA!$C$30:$C$33,MATCH('1-UseCase ทั้งหมด'!P8,DATA!$C$4:$C$7,0)),""))</f>
        <v/>
      </c>
      <c r="I8" s="34">
        <f>IF('1-UseCase ทั้งหมด'!B8="","",IFERROR(INDEX(DATA!$D$30:$D$32,MATCH('1-UseCase ทั้งหมด'!R8,DATA!$D$4:$D$6,0)),""))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ทั้งหมด'!S8,DATA!$E$4:$E$7,0)),""))</f>
        <v/>
      </c>
      <c r="L8" s="34">
        <f>IF('1-UseCase ทั้งหมด'!B8="","",IFERROR(INDEX(DATA!$F$30:$F$32,MATCH('1-UseCase ทั้งหมด'!T8,DATA!$F$4:$F$6,0)),""))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ทั้งหมด'!U8,DATA!$G$4:$G$6,0)),""))</f>
        <v/>
      </c>
      <c r="O8" s="34">
        <f>IF('1-UseCase ทั้งหมด'!B8="","",IFERROR(INDEX(DATA!$H$30:$H$32,MATCH('1-UseCase ทั้งหมด'!V8,DATA!$H$4:$H$6,0)),""))</f>
        <v/>
      </c>
      <c r="P8" s="34">
        <f>IF('1-UseCase ทั้งหมด'!B8="","",IFERROR(INDEX(DATA!$I$30:$I$33,MATCH('1-UseCase ทั้งหมด'!W8,DATA!$I$4:$I$7,0)),""))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ทั้งหมด'!L8)+COUNTBLANK('1-UseCase ทั้งหมด'!M8)+COUNTBLANK('1-UseCase ทั้งหมด'!O8)+COUNTBLANK('1-UseCase ทั้งหมด'!P8)+COUNTBLANK('1-UseCase ทั้งหมด'!R8)+COUNTBLANK('1-UseCase ทั้งหมด'!S8)+COUNTBLANK('1-UseCase ทั้งหมด'!T8)+COUNTBLANK('1-UseCase ทั้งหมด'!U8)+COUNTBLANK('1-UseCase ทั้งหมด'!V8)+COUNTBLANK('1-UseCase ทั้งหมด'!W8))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ทั้งหมด'!L9,DATA!$R$4:$R$8,0)),""))</f>
        <v/>
      </c>
      <c r="E9" s="34">
        <f>IF('1-UseCase ทั้งหมด'!B9="","",IFERROR(INDEX(DATA!$S$30:$S$34,MATCH('1-UseCase ทั้งหมด'!M9,DATA!$S$4:$S$8,0)),""))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ทั้งหมด'!O9,DATA!$B$4:$B$9,0)),""))</f>
        <v/>
      </c>
      <c r="H9" s="34">
        <f>IF('1-UseCase ทั้งหมด'!B9="","",IFERROR(INDEX(DATA!$C$30:$C$33,MATCH('1-UseCase ทั้งหมด'!P9,DATA!$C$4:$C$7,0)),""))</f>
        <v/>
      </c>
      <c r="I9" s="34">
        <f>IF('1-UseCase ทั้งหมด'!B9="","",IFERROR(INDEX(DATA!$D$30:$D$32,MATCH('1-UseCase ทั้งหมด'!R9,DATA!$D$4:$D$6,0)),""))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ทั้งหมด'!S9,DATA!$E$4:$E$7,0)),""))</f>
        <v/>
      </c>
      <c r="L9" s="34">
        <f>IF('1-UseCase ทั้งหมด'!B9="","",IFERROR(INDEX(DATA!$F$30:$F$32,MATCH('1-UseCase ทั้งหมด'!T9,DATA!$F$4:$F$6,0)),""))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ทั้งหมด'!U9,DATA!$G$4:$G$6,0)),""))</f>
        <v/>
      </c>
      <c r="O9" s="34">
        <f>IF('1-UseCase ทั้งหมด'!B9="","",IFERROR(INDEX(DATA!$H$30:$H$32,MATCH('1-UseCase ทั้งหมด'!V9,DATA!$H$4:$H$6,0)),""))</f>
        <v/>
      </c>
      <c r="P9" s="34">
        <f>IF('1-UseCase ทั้งหมด'!B9="","",IFERROR(INDEX(DATA!$I$30:$I$33,MATCH('1-UseCase ทั้งหมด'!W9,DATA!$I$4:$I$7,0)),""))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ทั้งหมด'!L9)+COUNTBLANK('1-UseCase ทั้งหมด'!M9)+COUNTBLANK('1-UseCase ทั้งหมด'!O9)+COUNTBLANK('1-UseCase ทั้งหมด'!P9)+COUNTBLANK('1-UseCase ทั้งหมด'!R9)+COUNTBLANK('1-UseCase ทั้งหมด'!S9)+COUNTBLANK('1-UseCase ทั้งหมด'!T9)+COUNTBLANK('1-UseCase ทั้งหมด'!U9)+COUNTBLANK('1-UseCase ทั้งหมด'!V9)+COUNTBLANK('1-UseCase ทั้งหมด'!W9))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ทั้งหมด'!L10,DATA!$R$4:$R$8,0)),""))</f>
        <v/>
      </c>
      <c r="E10" s="34">
        <f>IF('1-UseCase ทั้งหมด'!B10="","",IFERROR(INDEX(DATA!$S$30:$S$34,MATCH('1-UseCase ทั้งหมด'!M10,DATA!$S$4:$S$8,0)),""))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ทั้งหมด'!O10,DATA!$B$4:$B$9,0)),""))</f>
        <v/>
      </c>
      <c r="H10" s="34">
        <f>IF('1-UseCase ทั้งหมด'!B10="","",IFERROR(INDEX(DATA!$C$30:$C$33,MATCH('1-UseCase ทั้งหมด'!P10,DATA!$C$4:$C$7,0)),""))</f>
        <v/>
      </c>
      <c r="I10" s="34">
        <f>IF('1-UseCase ทั้งหมด'!B10="","",IFERROR(INDEX(DATA!$D$30:$D$32,MATCH('1-UseCase ทั้งหมด'!R10,DATA!$D$4:$D$6,0)),""))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ทั้งหมด'!S10,DATA!$E$4:$E$7,0)),""))</f>
        <v/>
      </c>
      <c r="L10" s="34">
        <f>IF('1-UseCase ทั้งหมด'!B10="","",IFERROR(INDEX(DATA!$F$30:$F$32,MATCH('1-UseCase ทั้งหมด'!T10,DATA!$F$4:$F$6,0)),""))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ทั้งหมด'!U10,DATA!$G$4:$G$6,0)),""))</f>
        <v/>
      </c>
      <c r="O10" s="34">
        <f>IF('1-UseCase ทั้งหมด'!B10="","",IFERROR(INDEX(DATA!$H$30:$H$32,MATCH('1-UseCase ทั้งหมด'!V10,DATA!$H$4:$H$6,0)),""))</f>
        <v/>
      </c>
      <c r="P10" s="34">
        <f>IF('1-UseCase ทั้งหมด'!B10="","",IFERROR(INDEX(DATA!$I$30:$I$33,MATCH('1-UseCase ทั้งหมด'!W10,DATA!$I$4:$I$7,0)),""))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ทั้งหมด'!L10)+COUNTBLANK('1-UseCase ทั้งหมด'!M10)+COUNTBLANK('1-UseCase ทั้งหมด'!O10)+COUNTBLANK('1-UseCase ทั้งหมด'!P10)+COUNTBLANK('1-UseCase ทั้งหมด'!R10)+COUNTBLANK('1-UseCase ทั้งหมด'!S10)+COUNTBLANK('1-UseCase ทั้งหมด'!T10)+COUNTBLANK('1-UseCase ทั้งหมด'!U10)+COUNTBLANK('1-UseCase ทั้งหมด'!V10)+COUNTBLANK('1-UseCase ทั้งหมด'!W10))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ทั้งหมด'!L11,DATA!$R$4:$R$8,0)),""))</f>
        <v/>
      </c>
      <c r="E11" s="34">
        <f>IF('1-UseCase ทั้งหมด'!B11="","",IFERROR(INDEX(DATA!$S$30:$S$34,MATCH('1-UseCase ทั้งหมด'!M11,DATA!$S$4:$S$8,0)),""))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ทั้งหมด'!O11,DATA!$B$4:$B$9,0)),""))</f>
        <v/>
      </c>
      <c r="H11" s="34">
        <f>IF('1-UseCase ทั้งหมด'!B11="","",IFERROR(INDEX(DATA!$C$30:$C$33,MATCH('1-UseCase ทั้งหมด'!P11,DATA!$C$4:$C$7,0)),""))</f>
        <v/>
      </c>
      <c r="I11" s="34">
        <f>IF('1-UseCase ทั้งหมด'!B11="","",IFERROR(INDEX(DATA!$D$30:$D$32,MATCH('1-UseCase ทั้งหมด'!R11,DATA!$D$4:$D$6,0)),""))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ทั้งหมด'!S11,DATA!$E$4:$E$7,0)),""))</f>
        <v/>
      </c>
      <c r="L11" s="34">
        <f>IF('1-UseCase ทั้งหมด'!B11="","",IFERROR(INDEX(DATA!$F$30:$F$32,MATCH('1-UseCase ทั้งหมด'!T11,DATA!$F$4:$F$6,0)),""))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ทั้งหมด'!U11,DATA!$G$4:$G$6,0)),""))</f>
        <v/>
      </c>
      <c r="O11" s="34">
        <f>IF('1-UseCase ทั้งหมด'!B11="","",IFERROR(INDEX(DATA!$H$30:$H$32,MATCH('1-UseCase ทั้งหมด'!V11,DATA!$H$4:$H$6,0)),""))</f>
        <v/>
      </c>
      <c r="P11" s="34">
        <f>IF('1-UseCase ทั้งหมด'!B11="","",IFERROR(INDEX(DATA!$I$30:$I$33,MATCH('1-UseCase ทั้งหมด'!W11,DATA!$I$4:$I$7,0)),""))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ทั้งหมด'!L11)+COUNTBLANK('1-UseCase ทั้งหมด'!M11)+COUNTBLANK('1-UseCase ทั้งหมด'!O11)+COUNTBLANK('1-UseCase ทั้งหมด'!P11)+COUNTBLANK('1-UseCase ทั้งหมด'!R11)+COUNTBLANK('1-UseCase ทั้งหมด'!S11)+COUNTBLANK('1-UseCase ทั้งหมด'!T11)+COUNTBLANK('1-UseCase ทั้งหมด'!U11)+COUNTBLANK('1-UseCase ทั้งหมด'!V11)+COUNTBLANK('1-UseCase ทั้งหมด'!W11))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ทั้งหมด'!L12,DATA!$R$4:$R$8,0)),""))</f>
        <v/>
      </c>
      <c r="E12" s="34">
        <f>IF('1-UseCase ทั้งหมด'!B12="","",IFERROR(INDEX(DATA!$S$30:$S$34,MATCH('1-UseCase ทั้งหมด'!M12,DATA!$S$4:$S$8,0)),""))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ทั้งหมด'!O12,DATA!$B$4:$B$9,0)),""))</f>
        <v/>
      </c>
      <c r="H12" s="34">
        <f>IF('1-UseCase ทั้งหมด'!B12="","",IFERROR(INDEX(DATA!$C$30:$C$33,MATCH('1-UseCase ทั้งหมด'!P12,DATA!$C$4:$C$7,0)),""))</f>
        <v/>
      </c>
      <c r="I12" s="34">
        <f>IF('1-UseCase ทั้งหมด'!B12="","",IFERROR(INDEX(DATA!$D$30:$D$32,MATCH('1-UseCase ทั้งหมด'!R12,DATA!$D$4:$D$6,0)),""))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ทั้งหมด'!S12,DATA!$E$4:$E$7,0)),""))</f>
        <v/>
      </c>
      <c r="L12" s="34">
        <f>IF('1-UseCase ทั้งหมด'!B12="","",IFERROR(INDEX(DATA!$F$30:$F$32,MATCH('1-UseCase ทั้งหมด'!T12,DATA!$F$4:$F$6,0)),""))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ทั้งหมด'!U12,DATA!$G$4:$G$6,0)),""))</f>
        <v/>
      </c>
      <c r="O12" s="34">
        <f>IF('1-UseCase ทั้งหมด'!B12="","",IFERROR(INDEX(DATA!$H$30:$H$32,MATCH('1-UseCase ทั้งหมด'!V12,DATA!$H$4:$H$6,0)),""))</f>
        <v/>
      </c>
      <c r="P12" s="34">
        <f>IF('1-UseCase ทั้งหมด'!B12="","",IFERROR(INDEX(DATA!$I$30:$I$33,MATCH('1-UseCase ทั้งหมด'!W12,DATA!$I$4:$I$7,0)),""))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ทั้งหมด'!L12)+COUNTBLANK('1-UseCase ทั้งหมด'!M12)+COUNTBLANK('1-UseCase ทั้งหมด'!O12)+COUNTBLANK('1-UseCase ทั้งหมด'!P12)+COUNTBLANK('1-UseCase ทั้งหมด'!R12)+COUNTBLANK('1-UseCase ทั้งหมด'!S12)+COUNTBLANK('1-UseCase ทั้งหมด'!T12)+COUNTBLANK('1-UseCase ทั้งหมด'!U12)+COUNTBLANK('1-UseCase ทั้งหมด'!V12)+COUNTBLANK('1-UseCase ทั้งหมด'!W12))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ทั้งหมด'!L13,DATA!$R$4:$R$8,0)),""))</f>
        <v/>
      </c>
      <c r="E13" s="34">
        <f>IF('1-UseCase ทั้งหมด'!B13="","",IFERROR(INDEX(DATA!$S$30:$S$34,MATCH('1-UseCase ทั้งหมด'!M13,DATA!$S$4:$S$8,0)),""))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ทั้งหมด'!O13,DATA!$B$4:$B$9,0)),""))</f>
        <v/>
      </c>
      <c r="H13" s="34">
        <f>IF('1-UseCase ทั้งหมด'!B13="","",IFERROR(INDEX(DATA!$C$30:$C$33,MATCH('1-UseCase ทั้งหมด'!P13,DATA!$C$4:$C$7,0)),""))</f>
        <v/>
      </c>
      <c r="I13" s="34">
        <f>IF('1-UseCase ทั้งหมด'!B13="","",IFERROR(INDEX(DATA!$D$30:$D$32,MATCH('1-UseCase ทั้งหมด'!R13,DATA!$D$4:$D$6,0)),""))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ทั้งหมด'!S13,DATA!$E$4:$E$7,0)),""))</f>
        <v/>
      </c>
      <c r="L13" s="34">
        <f>IF('1-UseCase ทั้งหมด'!B13="","",IFERROR(INDEX(DATA!$F$30:$F$32,MATCH('1-UseCase ทั้งหมด'!T13,DATA!$F$4:$F$6,0)),""))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ทั้งหมด'!U13,DATA!$G$4:$G$6,0)),""))</f>
        <v/>
      </c>
      <c r="O13" s="34">
        <f>IF('1-UseCase ทั้งหมด'!B13="","",IFERROR(INDEX(DATA!$H$30:$H$32,MATCH('1-UseCase ทั้งหมด'!V13,DATA!$H$4:$H$6,0)),""))</f>
        <v/>
      </c>
      <c r="P13" s="34">
        <f>IF('1-UseCase ทั้งหมด'!B13="","",IFERROR(INDEX(DATA!$I$30:$I$33,MATCH('1-UseCase ทั้งหมด'!W13,DATA!$I$4:$I$7,0)),""))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ทั้งหมด'!L13)+COUNTBLANK('1-UseCase ทั้งหมด'!M13)+COUNTBLANK('1-UseCase ทั้งหมด'!O13)+COUNTBLANK('1-UseCase ทั้งหมด'!P13)+COUNTBLANK('1-UseCase ทั้งหมด'!R13)+COUNTBLANK('1-UseCase ทั้งหมด'!S13)+COUNTBLANK('1-UseCase ทั้งหมด'!T13)+COUNTBLANK('1-UseCase ทั้งหมด'!U13)+COUNTBLANK('1-UseCase ทั้งหมด'!V13)+COUNTBLANK('1-UseCase ทั้งหมด'!W13))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ทั้งหมด'!L14,DATA!$R$4:$R$8,0)),""))</f>
        <v/>
      </c>
      <c r="E14" s="34">
        <f>IF('1-UseCase ทั้งหมด'!B14="","",IFERROR(INDEX(DATA!$S$30:$S$34,MATCH('1-UseCase ทั้งหมด'!M14,DATA!$S$4:$S$8,0)),""))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ทั้งหมด'!O14,DATA!$B$4:$B$9,0)),""))</f>
        <v/>
      </c>
      <c r="H14" s="34">
        <f>IF('1-UseCase ทั้งหมด'!B14="","",IFERROR(INDEX(DATA!$C$30:$C$33,MATCH('1-UseCase ทั้งหมด'!P14,DATA!$C$4:$C$7,0)),""))</f>
        <v/>
      </c>
      <c r="I14" s="34">
        <f>IF('1-UseCase ทั้งหมด'!B14="","",IFERROR(INDEX(DATA!$D$30:$D$32,MATCH('1-UseCase ทั้งหมด'!R14,DATA!$D$4:$D$6,0)),""))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ทั้งหมด'!S14,DATA!$E$4:$E$7,0)),""))</f>
        <v/>
      </c>
      <c r="L14" s="34">
        <f>IF('1-UseCase ทั้งหมด'!B14="","",IFERROR(INDEX(DATA!$F$30:$F$32,MATCH('1-UseCase ทั้งหมด'!T14,DATA!$F$4:$F$6,0)),""))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ทั้งหมด'!U14,DATA!$G$4:$G$6,0)),""))</f>
        <v/>
      </c>
      <c r="O14" s="34">
        <f>IF('1-UseCase ทั้งหมด'!B14="","",IFERROR(INDEX(DATA!$H$30:$H$32,MATCH('1-UseCase ทั้งหมด'!V14,DATA!$H$4:$H$6,0)),""))</f>
        <v/>
      </c>
      <c r="P14" s="34">
        <f>IF('1-UseCase ทั้งหมด'!B14="","",IFERROR(INDEX(DATA!$I$30:$I$33,MATCH('1-UseCase ทั้งหมด'!W14,DATA!$I$4:$I$7,0)),""))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ทั้งหมด'!L14)+COUNTBLANK('1-UseCase ทั้งหมด'!M14)+COUNTBLANK('1-UseCase ทั้งหมด'!O14)+COUNTBLANK('1-UseCase ทั้งหมด'!P14)+COUNTBLANK('1-UseCase ทั้งหมด'!R14)+COUNTBLANK('1-UseCase ทั้งหมด'!S14)+COUNTBLANK('1-UseCase ทั้งหมด'!T14)+COUNTBLANK('1-UseCase ทั้งหมด'!U14)+COUNTBLANK('1-UseCase ทั้งหมด'!V14)+COUNTBLANK('1-UseCase ทั้งหมด'!W14))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ทั้งหมด'!L15,DATA!$R$4:$R$8,0)),""))</f>
        <v/>
      </c>
      <c r="E15" s="34">
        <f>IF('1-UseCase ทั้งหมด'!B15="","",IFERROR(INDEX(DATA!$S$30:$S$34,MATCH('1-UseCase ทั้งหมด'!M15,DATA!$S$4:$S$8,0)),""))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ทั้งหมด'!O15,DATA!$B$4:$B$9,0)),""))</f>
        <v/>
      </c>
      <c r="H15" s="34">
        <f>IF('1-UseCase ทั้งหมด'!B15="","",IFERROR(INDEX(DATA!$C$30:$C$33,MATCH('1-UseCase ทั้งหมด'!P15,DATA!$C$4:$C$7,0)),""))</f>
        <v/>
      </c>
      <c r="I15" s="34">
        <f>IF('1-UseCase ทั้งหมด'!B15="","",IFERROR(INDEX(DATA!$D$30:$D$32,MATCH('1-UseCase ทั้งหมด'!R15,DATA!$D$4:$D$6,0)),""))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ทั้งหมด'!S15,DATA!$E$4:$E$7,0)),""))</f>
        <v/>
      </c>
      <c r="L15" s="34">
        <f>IF('1-UseCase ทั้งหมด'!B15="","",IFERROR(INDEX(DATA!$F$30:$F$32,MATCH('1-UseCase ทั้งหมด'!T15,DATA!$F$4:$F$6,0)),""))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ทั้งหมด'!U15,DATA!$G$4:$G$6,0)),""))</f>
        <v/>
      </c>
      <c r="O15" s="34">
        <f>IF('1-UseCase ทั้งหมด'!B15="","",IFERROR(INDEX(DATA!$H$30:$H$32,MATCH('1-UseCase ทั้งหมด'!V15,DATA!$H$4:$H$6,0)),""))</f>
        <v/>
      </c>
      <c r="P15" s="34">
        <f>IF('1-UseCase ทั้งหมด'!B15="","",IFERROR(INDEX(DATA!$I$30:$I$33,MATCH('1-UseCase ทั้งหมด'!W15,DATA!$I$4:$I$7,0)),""))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ทั้งหมด'!L15)+COUNTBLANK('1-UseCase ทั้งหมด'!M15)+COUNTBLANK('1-UseCase ทั้งหมด'!O15)+COUNTBLANK('1-UseCase ทั้งหมด'!P15)+COUNTBLANK('1-UseCase ทั้งหมด'!R15)+COUNTBLANK('1-UseCase ทั้งหมด'!S15)+COUNTBLANK('1-UseCase ทั้งหมด'!T15)+COUNTBLANK('1-UseCase ทั้งหมด'!U15)+COUNTBLANK('1-UseCase ทั้งหมด'!V15)+COUNTBLANK('1-UseCase ทั้งหมด'!W15))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ทั้งหมด'!L16,DATA!$R$4:$R$8,0)),""))</f>
        <v/>
      </c>
      <c r="E16" s="34">
        <f>IF('1-UseCase ทั้งหมด'!B16="","",IFERROR(INDEX(DATA!$S$30:$S$34,MATCH('1-UseCase ทั้งหมด'!M16,DATA!$S$4:$S$8,0)),""))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ทั้งหมด'!O16,DATA!$B$4:$B$9,0)),""))</f>
        <v/>
      </c>
      <c r="H16" s="34">
        <f>IF('1-UseCase ทั้งหมด'!B16="","",IFERROR(INDEX(DATA!$C$30:$C$33,MATCH('1-UseCase ทั้งหมด'!P16,DATA!$C$4:$C$7,0)),""))</f>
        <v/>
      </c>
      <c r="I16" s="34">
        <f>IF('1-UseCase ทั้งหมด'!B16="","",IFERROR(INDEX(DATA!$D$30:$D$32,MATCH('1-UseCase ทั้งหมด'!R16,DATA!$D$4:$D$6,0)),""))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ทั้งหมด'!S16,DATA!$E$4:$E$7,0)),""))</f>
        <v/>
      </c>
      <c r="L16" s="34">
        <f>IF('1-UseCase ทั้งหมด'!B16="","",IFERROR(INDEX(DATA!$F$30:$F$32,MATCH('1-UseCase ทั้งหมด'!T16,DATA!$F$4:$F$6,0)),""))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ทั้งหมด'!U16,DATA!$G$4:$G$6,0)),""))</f>
        <v/>
      </c>
      <c r="O16" s="34">
        <f>IF('1-UseCase ทั้งหมด'!B16="","",IFERROR(INDEX(DATA!$H$30:$H$32,MATCH('1-UseCase ทั้งหมด'!V16,DATA!$H$4:$H$6,0)),""))</f>
        <v/>
      </c>
      <c r="P16" s="34">
        <f>IF('1-UseCase ทั้งหมด'!B16="","",IFERROR(INDEX(DATA!$I$30:$I$33,MATCH('1-UseCase ทั้งหมด'!W16,DATA!$I$4:$I$7,0)),""))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ทั้งหมด'!L16)+COUNTBLANK('1-UseCase ทั้งหมด'!M16)+COUNTBLANK('1-UseCase ทั้งหมด'!O16)+COUNTBLANK('1-UseCase ทั้งหมด'!P16)+COUNTBLANK('1-UseCase ทั้งหมด'!R16)+COUNTBLANK('1-UseCase ทั้งหมด'!S16)+COUNTBLANK('1-UseCase ทั้งหมด'!T16)+COUNTBLANK('1-UseCase ทั้งหมด'!U16)+COUNTBLANK('1-UseCase ทั้งหมด'!V16)+COUNTBLANK('1-UseCase ทั้งหมด'!W16))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ทั้งหมด'!L17,DATA!$R$4:$R$8,0)),""))</f>
        <v/>
      </c>
      <c r="E17" s="34">
        <f>IF('1-UseCase ทั้งหมด'!B17="","",IFERROR(INDEX(DATA!$S$30:$S$34,MATCH('1-UseCase ทั้งหมด'!M17,DATA!$S$4:$S$8,0)),""))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ทั้งหมด'!O17,DATA!$B$4:$B$9,0)),""))</f>
        <v/>
      </c>
      <c r="H17" s="34">
        <f>IF('1-UseCase ทั้งหมด'!B17="","",IFERROR(INDEX(DATA!$C$30:$C$33,MATCH('1-UseCase ทั้งหมด'!P17,DATA!$C$4:$C$7,0)),""))</f>
        <v/>
      </c>
      <c r="I17" s="34">
        <f>IF('1-UseCase ทั้งหมด'!B17="","",IFERROR(INDEX(DATA!$D$30:$D$32,MATCH('1-UseCase ทั้งหมด'!R17,DATA!$D$4:$D$6,0)),""))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ทั้งหมด'!S17,DATA!$E$4:$E$7,0)),""))</f>
        <v/>
      </c>
      <c r="L17" s="34">
        <f>IF('1-UseCase ทั้งหมด'!B17="","",IFERROR(INDEX(DATA!$F$30:$F$32,MATCH('1-UseCase ทั้งหมด'!T17,DATA!$F$4:$F$6,0)),""))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ทั้งหมด'!U17,DATA!$G$4:$G$6,0)),""))</f>
        <v/>
      </c>
      <c r="O17" s="34">
        <f>IF('1-UseCase ทั้งหมด'!B17="","",IFERROR(INDEX(DATA!$H$30:$H$32,MATCH('1-UseCase ทั้งหมด'!V17,DATA!$H$4:$H$6,0)),""))</f>
        <v/>
      </c>
      <c r="P17" s="34">
        <f>IF('1-UseCase ทั้งหมด'!B17="","",IFERROR(INDEX(DATA!$I$30:$I$33,MATCH('1-UseCase ทั้งหมด'!W17,DATA!$I$4:$I$7,0)),""))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ทั้งหมด'!L17)+COUNTBLANK('1-UseCase ทั้งหมด'!M17)+COUNTBLANK('1-UseCase ทั้งหมด'!O17)+COUNTBLANK('1-UseCase ทั้งหมด'!P17)+COUNTBLANK('1-UseCase ทั้งหมด'!R17)+COUNTBLANK('1-UseCase ทั้งหมด'!S17)+COUNTBLANK('1-UseCase ทั้งหมด'!T17)+COUNTBLANK('1-UseCase ทั้งหมด'!U17)+COUNTBLANK('1-UseCase ทั้งหมด'!V17)+COUNTBLANK('1-UseCase ทั้งหมด'!W17))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ทั้งหมด'!L18,DATA!$R$4:$R$8,0)),""))</f>
        <v/>
      </c>
      <c r="E18" s="34">
        <f>IF('1-UseCase ทั้งหมด'!B18="","",IFERROR(INDEX(DATA!$S$30:$S$34,MATCH('1-UseCase ทั้งหมด'!M18,DATA!$S$4:$S$8,0)),""))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ทั้งหมด'!O18,DATA!$B$4:$B$9,0)),""))</f>
        <v/>
      </c>
      <c r="H18" s="34">
        <f>IF('1-UseCase ทั้งหมด'!B18="","",IFERROR(INDEX(DATA!$C$30:$C$33,MATCH('1-UseCase ทั้งหมด'!P18,DATA!$C$4:$C$7,0)),""))</f>
        <v/>
      </c>
      <c r="I18" s="34">
        <f>IF('1-UseCase ทั้งหมด'!B18="","",IFERROR(INDEX(DATA!$D$30:$D$32,MATCH('1-UseCase ทั้งหมด'!R18,DATA!$D$4:$D$6,0)),""))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ทั้งหมด'!S18,DATA!$E$4:$E$7,0)),""))</f>
        <v/>
      </c>
      <c r="L18" s="34">
        <f>IF('1-UseCase ทั้งหมด'!B18="","",IFERROR(INDEX(DATA!$F$30:$F$32,MATCH('1-UseCase ทั้งหมด'!T18,DATA!$F$4:$F$6,0)),""))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ทั้งหมด'!U18,DATA!$G$4:$G$6,0)),""))</f>
        <v/>
      </c>
      <c r="O18" s="34">
        <f>IF('1-UseCase ทั้งหมด'!B18="","",IFERROR(INDEX(DATA!$H$30:$H$32,MATCH('1-UseCase ทั้งหมด'!V18,DATA!$H$4:$H$6,0)),""))</f>
        <v/>
      </c>
      <c r="P18" s="34">
        <f>IF('1-UseCase ทั้งหมด'!B18="","",IFERROR(INDEX(DATA!$I$30:$I$33,MATCH('1-UseCase ทั้งหมด'!W18,DATA!$I$4:$I$7,0)),""))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ทั้งหมด'!L18)+COUNTBLANK('1-UseCase ทั้งหมด'!M18)+COUNTBLANK('1-UseCase ทั้งหมด'!O18)+COUNTBLANK('1-UseCase ทั้งหมด'!P18)+COUNTBLANK('1-UseCase ทั้งหมด'!R18)+COUNTBLANK('1-UseCase ทั้งหมด'!S18)+COUNTBLANK('1-UseCase ทั้งหมด'!T18)+COUNTBLANK('1-UseCase ทั้งหมด'!U18)+COUNTBLANK('1-UseCase ทั้งหมด'!V18)+COUNTBLANK('1-UseCase ทั้งหมด'!W18))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ทั้งหมด'!L19,DATA!$R$4:$R$8,0)),""))</f>
        <v/>
      </c>
      <c r="E19" s="34">
        <f>IF('1-UseCase ทั้งหมด'!B19="","",IFERROR(INDEX(DATA!$S$30:$S$34,MATCH('1-UseCase ทั้งหมด'!M19,DATA!$S$4:$S$8,0)),""))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ทั้งหมด'!O19,DATA!$B$4:$B$9,0)),""))</f>
        <v/>
      </c>
      <c r="H19" s="34">
        <f>IF('1-UseCase ทั้งหมด'!B19="","",IFERROR(INDEX(DATA!$C$30:$C$33,MATCH('1-UseCase ทั้งหมด'!P19,DATA!$C$4:$C$7,0)),""))</f>
        <v/>
      </c>
      <c r="I19" s="34">
        <f>IF('1-UseCase ทั้งหมด'!B19="","",IFERROR(INDEX(DATA!$D$30:$D$32,MATCH('1-UseCase ทั้งหมด'!R19,DATA!$D$4:$D$6,0)),""))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ทั้งหมด'!S19,DATA!$E$4:$E$7,0)),""))</f>
        <v/>
      </c>
      <c r="L19" s="34">
        <f>IF('1-UseCase ทั้งหมด'!B19="","",IFERROR(INDEX(DATA!$F$30:$F$32,MATCH('1-UseCase ทั้งหมด'!T19,DATA!$F$4:$F$6,0)),""))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ทั้งหมด'!U19,DATA!$G$4:$G$6,0)),""))</f>
        <v/>
      </c>
      <c r="O19" s="34">
        <f>IF('1-UseCase ทั้งหมด'!B19="","",IFERROR(INDEX(DATA!$H$30:$H$32,MATCH('1-UseCase ทั้งหมด'!V19,DATA!$H$4:$H$6,0)),""))</f>
        <v/>
      </c>
      <c r="P19" s="34">
        <f>IF('1-UseCase ทั้งหมด'!B19="","",IFERROR(INDEX(DATA!$I$30:$I$33,MATCH('1-UseCase ทั้งหมด'!W19,DATA!$I$4:$I$7,0)),""))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ทั้งหมด'!L19)+COUNTBLANK('1-UseCase ทั้งหมด'!M19)+COUNTBLANK('1-UseCase ทั้งหมด'!O19)+COUNTBLANK('1-UseCase ทั้งหมด'!P19)+COUNTBLANK('1-UseCase ทั้งหมด'!R19)+COUNTBLANK('1-UseCase ทั้งหมด'!S19)+COUNTBLANK('1-UseCase ทั้งหมด'!T19)+COUNTBLANK('1-UseCase ทั้งหมด'!U19)+COUNTBLANK('1-UseCase ทั้งหมด'!V19)+COUNTBLANK('1-UseCase ทั้งหมด'!W19))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ทั้งหมด'!L20,DATA!$R$4:$R$8,0)),""))</f>
        <v/>
      </c>
      <c r="E20" s="34">
        <f>IF('1-UseCase ทั้งหมด'!B20="","",IFERROR(INDEX(DATA!$S$30:$S$34,MATCH('1-UseCase ทั้งหมด'!M20,DATA!$S$4:$S$8,0)),""))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ทั้งหมด'!O20,DATA!$B$4:$B$9,0)),""))</f>
        <v/>
      </c>
      <c r="H20" s="34">
        <f>IF('1-UseCase ทั้งหมด'!B20="","",IFERROR(INDEX(DATA!$C$30:$C$33,MATCH('1-UseCase ทั้งหมด'!P20,DATA!$C$4:$C$7,0)),""))</f>
        <v/>
      </c>
      <c r="I20" s="34">
        <f>IF('1-UseCase ทั้งหมด'!B20="","",IFERROR(INDEX(DATA!$D$30:$D$32,MATCH('1-UseCase ทั้งหมด'!R20,DATA!$D$4:$D$6,0)),""))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ทั้งหมด'!S20,DATA!$E$4:$E$7,0)),""))</f>
        <v/>
      </c>
      <c r="L20" s="34">
        <f>IF('1-UseCase ทั้งหมด'!B20="","",IFERROR(INDEX(DATA!$F$30:$F$32,MATCH('1-UseCase ทั้งหมด'!T20,DATA!$F$4:$F$6,0)),""))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ทั้งหมด'!U20,DATA!$G$4:$G$6,0)),""))</f>
        <v/>
      </c>
      <c r="O20" s="34">
        <f>IF('1-UseCase ทั้งหมด'!B20="","",IFERROR(INDEX(DATA!$H$30:$H$32,MATCH('1-UseCase ทั้งหมด'!V20,DATA!$H$4:$H$6,0)),""))</f>
        <v/>
      </c>
      <c r="P20" s="34">
        <f>IF('1-UseCase ทั้งหมด'!B20="","",IFERROR(INDEX(DATA!$I$30:$I$33,MATCH('1-UseCase ทั้งหมด'!W20,DATA!$I$4:$I$7,0)),""))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ทั้งหมด'!L20)+COUNTBLANK('1-UseCase ทั้งหมด'!M20)+COUNTBLANK('1-UseCase ทั้งหมด'!O20)+COUNTBLANK('1-UseCase ทั้งหมด'!P20)+COUNTBLANK('1-UseCase ทั้งหมด'!R20)+COUNTBLANK('1-UseCase ทั้งหมด'!S20)+COUNTBLANK('1-UseCase ทั้งหมด'!T20)+COUNTBLANK('1-UseCase ทั้งหมด'!U20)+COUNTBLANK('1-UseCase ทั้งหมด'!V20)+COUNTBLANK('1-UseCase ทั้งหมด'!W20))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ทั้งหมด'!L21,DATA!$R$4:$R$8,0)),""))</f>
        <v/>
      </c>
      <c r="E21" s="34">
        <f>IF('1-UseCase ทั้งหมด'!B21="","",IFERROR(INDEX(DATA!$S$30:$S$34,MATCH('1-UseCase ทั้งหมด'!M21,DATA!$S$4:$S$8,0)),""))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ทั้งหมด'!O21,DATA!$B$4:$B$9,0)),""))</f>
        <v/>
      </c>
      <c r="H21" s="34">
        <f>IF('1-UseCase ทั้งหมด'!B21="","",IFERROR(INDEX(DATA!$C$30:$C$33,MATCH('1-UseCase ทั้งหมด'!P21,DATA!$C$4:$C$7,0)),""))</f>
        <v/>
      </c>
      <c r="I21" s="34">
        <f>IF('1-UseCase ทั้งหมด'!B21="","",IFERROR(INDEX(DATA!$D$30:$D$32,MATCH('1-UseCase ทั้งหมด'!R21,DATA!$D$4:$D$6,0)),""))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ทั้งหมด'!S21,DATA!$E$4:$E$7,0)),""))</f>
        <v/>
      </c>
      <c r="L21" s="34">
        <f>IF('1-UseCase ทั้งหมด'!B21="","",IFERROR(INDEX(DATA!$F$30:$F$32,MATCH('1-UseCase ทั้งหมด'!T21,DATA!$F$4:$F$6,0)),""))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ทั้งหมด'!U21,DATA!$G$4:$G$6,0)),""))</f>
        <v/>
      </c>
      <c r="O21" s="34">
        <f>IF('1-UseCase ทั้งหมด'!B21="","",IFERROR(INDEX(DATA!$H$30:$H$32,MATCH('1-UseCase ทั้งหมด'!V21,DATA!$H$4:$H$6,0)),""))</f>
        <v/>
      </c>
      <c r="P21" s="34">
        <f>IF('1-UseCase ทั้งหมด'!B21="","",IFERROR(INDEX(DATA!$I$30:$I$33,MATCH('1-UseCase ทั้งหมด'!W21,DATA!$I$4:$I$7,0)),""))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ทั้งหมด'!L21)+COUNTBLANK('1-UseCase ทั้งหมด'!M21)+COUNTBLANK('1-UseCase ทั้งหมด'!O21)+COUNTBLANK('1-UseCase ทั้งหมด'!P21)+COUNTBLANK('1-UseCase ทั้งหมด'!R21)+COUNTBLANK('1-UseCase ทั้งหมด'!S21)+COUNTBLANK('1-UseCase ทั้งหมด'!T21)+COUNTBLANK('1-UseCase ทั้งหมด'!U21)+COUNTBLANK('1-UseCase ทั้งหมด'!V21)+COUNTBLANK('1-UseCase ทั้งหมด'!W21))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ทั้งหมด'!L22,DATA!$R$4:$R$8,0)),""))</f>
        <v/>
      </c>
      <c r="E22" s="34">
        <f>IF('1-UseCase ทั้งหมด'!B22="","",IFERROR(INDEX(DATA!$S$30:$S$34,MATCH('1-UseCase ทั้งหมด'!M22,DATA!$S$4:$S$8,0)),""))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ทั้งหมด'!O22,DATA!$B$4:$B$9,0)),""))</f>
        <v/>
      </c>
      <c r="H22" s="34">
        <f>IF('1-UseCase ทั้งหมด'!B22="","",IFERROR(INDEX(DATA!$C$30:$C$33,MATCH('1-UseCase ทั้งหมด'!P22,DATA!$C$4:$C$7,0)),""))</f>
        <v/>
      </c>
      <c r="I22" s="34">
        <f>IF('1-UseCase ทั้งหมด'!B22="","",IFERROR(INDEX(DATA!$D$30:$D$32,MATCH('1-UseCase ทั้งหมด'!R22,DATA!$D$4:$D$6,0)),""))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ทั้งหมด'!S22,DATA!$E$4:$E$7,0)),""))</f>
        <v/>
      </c>
      <c r="L22" s="34">
        <f>IF('1-UseCase ทั้งหมด'!B22="","",IFERROR(INDEX(DATA!$F$30:$F$32,MATCH('1-UseCase ทั้งหมด'!T22,DATA!$F$4:$F$6,0)),""))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ทั้งหมด'!U22,DATA!$G$4:$G$6,0)),""))</f>
        <v/>
      </c>
      <c r="O22" s="34">
        <f>IF('1-UseCase ทั้งหมด'!B22="","",IFERROR(INDEX(DATA!$H$30:$H$32,MATCH('1-UseCase ทั้งหมด'!V22,DATA!$H$4:$H$6,0)),""))</f>
        <v/>
      </c>
      <c r="P22" s="34">
        <f>IF('1-UseCase ทั้งหมด'!B22="","",IFERROR(INDEX(DATA!$I$30:$I$33,MATCH('1-UseCase ทั้งหมด'!W22,DATA!$I$4:$I$7,0)),""))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ทั้งหมด'!L22)+COUNTBLANK('1-UseCase ทั้งหมด'!M22)+COUNTBLANK('1-UseCase ทั้งหมด'!O22)+COUNTBLANK('1-UseCase ทั้งหมด'!P22)+COUNTBLANK('1-UseCase ทั้งหมด'!R22)+COUNTBLANK('1-UseCase ทั้งหมด'!S22)+COUNTBLANK('1-UseCase ทั้งหมด'!T22)+COUNTBLANK('1-UseCase ทั้งหมด'!U22)+COUNTBLANK('1-UseCase ทั้งหมด'!V22)+COUNTBLANK('1-UseCase ทั้งหมด'!W22))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ทั้งหมด'!L23,DATA!$R$4:$R$8,0)),""))</f>
        <v/>
      </c>
      <c r="E23" s="34">
        <f>IF('1-UseCase ทั้งหมด'!B23="","",IFERROR(INDEX(DATA!$S$30:$S$34,MATCH('1-UseCase ทั้งหมด'!M23,DATA!$S$4:$S$8,0)),""))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ทั้งหมด'!O23,DATA!$B$4:$B$9,0)),""))</f>
        <v/>
      </c>
      <c r="H23" s="34">
        <f>IF('1-UseCase ทั้งหมด'!B23="","",IFERROR(INDEX(DATA!$C$30:$C$33,MATCH('1-UseCase ทั้งหมด'!P23,DATA!$C$4:$C$7,0)),""))</f>
        <v/>
      </c>
      <c r="I23" s="34">
        <f>IF('1-UseCase ทั้งหมด'!B23="","",IFERROR(INDEX(DATA!$D$30:$D$32,MATCH('1-UseCase ทั้งหมด'!R23,DATA!$D$4:$D$6,0)),""))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ทั้งหมด'!S23,DATA!$E$4:$E$7,0)),""))</f>
        <v/>
      </c>
      <c r="L23" s="34">
        <f>IF('1-UseCase ทั้งหมด'!B23="","",IFERROR(INDEX(DATA!$F$30:$F$32,MATCH('1-UseCase ทั้งหมด'!T23,DATA!$F$4:$F$6,0)),""))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ทั้งหมด'!U23,DATA!$G$4:$G$6,0)),""))</f>
        <v/>
      </c>
      <c r="O23" s="34">
        <f>IF('1-UseCase ทั้งหมด'!B23="","",IFERROR(INDEX(DATA!$H$30:$H$32,MATCH('1-UseCase ทั้งหมด'!V23,DATA!$H$4:$H$6,0)),""))</f>
        <v/>
      </c>
      <c r="P23" s="34">
        <f>IF('1-UseCase ทั้งหมด'!B23="","",IFERROR(INDEX(DATA!$I$30:$I$33,MATCH('1-UseCase ทั้งหมด'!W23,DATA!$I$4:$I$7,0)),""))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ทั้งหมด'!L23)+COUNTBLANK('1-UseCase ทั้งหมด'!M23)+COUNTBLANK('1-UseCase ทั้งหมด'!O23)+COUNTBLANK('1-UseCase ทั้งหมด'!P23)+COUNTBLANK('1-UseCase ทั้งหมด'!R23)+COUNTBLANK('1-UseCase ทั้งหมด'!S23)+COUNTBLANK('1-UseCase ทั้งหมด'!T23)+COUNTBLANK('1-UseCase ทั้งหมด'!U23)+COUNTBLANK('1-UseCase ทั้งหมด'!V23)+COUNTBLANK('1-UseCase ทั้งหมด'!W23))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ทั้งหมด'!L24,DATA!$R$4:$R$8,0)),""))</f>
        <v/>
      </c>
      <c r="E24" s="34">
        <f>IF('1-UseCase ทั้งหมด'!B24="","",IFERROR(INDEX(DATA!$S$30:$S$34,MATCH('1-UseCase ทั้งหมด'!M24,DATA!$S$4:$S$8,0)),""))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ทั้งหมด'!O24,DATA!$B$4:$B$9,0)),""))</f>
        <v/>
      </c>
      <c r="H24" s="34">
        <f>IF('1-UseCase ทั้งหมด'!B24="","",IFERROR(INDEX(DATA!$C$30:$C$33,MATCH('1-UseCase ทั้งหมด'!P24,DATA!$C$4:$C$7,0)),""))</f>
        <v/>
      </c>
      <c r="I24" s="34">
        <f>IF('1-UseCase ทั้งหมด'!B24="","",IFERROR(INDEX(DATA!$D$30:$D$32,MATCH('1-UseCase ทั้งหมด'!R24,DATA!$D$4:$D$6,0)),""))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ทั้งหมด'!S24,DATA!$E$4:$E$7,0)),""))</f>
        <v/>
      </c>
      <c r="L24" s="34">
        <f>IF('1-UseCase ทั้งหมด'!B24="","",IFERROR(INDEX(DATA!$F$30:$F$32,MATCH('1-UseCase ทั้งหมด'!T24,DATA!$F$4:$F$6,0)),""))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ทั้งหมด'!U24,DATA!$G$4:$G$6,0)),""))</f>
        <v/>
      </c>
      <c r="O24" s="34">
        <f>IF('1-UseCase ทั้งหมด'!B24="","",IFERROR(INDEX(DATA!$H$30:$H$32,MATCH('1-UseCase ทั้งหมด'!V24,DATA!$H$4:$H$6,0)),""))</f>
        <v/>
      </c>
      <c r="P24" s="34">
        <f>IF('1-UseCase ทั้งหมด'!B24="","",IFERROR(INDEX(DATA!$I$30:$I$33,MATCH('1-UseCase ทั้งหมด'!W24,DATA!$I$4:$I$7,0)),""))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ทั้งหมด'!L24)+COUNTBLANK('1-UseCase ทั้งหมด'!M24)+COUNTBLANK('1-UseCase ทั้งหมด'!O24)+COUNTBLANK('1-UseCase ทั้งหมด'!P24)+COUNTBLANK('1-UseCase ทั้งหมด'!R24)+COUNTBLANK('1-UseCase ทั้งหมด'!S24)+COUNTBLANK('1-UseCase ทั้งหมด'!T24)+COUNTBLANK('1-UseCase ทั้งหมด'!U24)+COUNTBLANK('1-UseCase ทั้งหมด'!V24)+COUNTBLANK('1-UseCase ทั้งหมด'!W24))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ทั้งหมด'!L25,DATA!$R$4:$R$8,0)),""))</f>
        <v/>
      </c>
      <c r="E25" s="34">
        <f>IF('1-UseCase ทั้งหมด'!B25="","",IFERROR(INDEX(DATA!$S$30:$S$34,MATCH('1-UseCase ทั้งหมด'!M25,DATA!$S$4:$S$8,0)),""))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ทั้งหมด'!O25,DATA!$B$4:$B$9,0)),""))</f>
        <v/>
      </c>
      <c r="H25" s="34">
        <f>IF('1-UseCase ทั้งหมด'!B25="","",IFERROR(INDEX(DATA!$C$30:$C$33,MATCH('1-UseCase ทั้งหมด'!P25,DATA!$C$4:$C$7,0)),""))</f>
        <v/>
      </c>
      <c r="I25" s="34">
        <f>IF('1-UseCase ทั้งหมด'!B25="","",IFERROR(INDEX(DATA!$D$30:$D$32,MATCH('1-UseCase ทั้งหมด'!R25,DATA!$D$4:$D$6,0)),""))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ทั้งหมด'!S25,DATA!$E$4:$E$7,0)),""))</f>
        <v/>
      </c>
      <c r="L25" s="34">
        <f>IF('1-UseCase ทั้งหมด'!B25="","",IFERROR(INDEX(DATA!$F$30:$F$32,MATCH('1-UseCase ทั้งหมด'!T25,DATA!$F$4:$F$6,0)),""))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ทั้งหมด'!U25,DATA!$G$4:$G$6,0)),""))</f>
        <v/>
      </c>
      <c r="O25" s="34">
        <f>IF('1-UseCase ทั้งหมด'!B25="","",IFERROR(INDEX(DATA!$H$30:$H$32,MATCH('1-UseCase ทั้งหมด'!V25,DATA!$H$4:$H$6,0)),""))</f>
        <v/>
      </c>
      <c r="P25" s="34">
        <f>IF('1-UseCase ทั้งหมด'!B25="","",IFERROR(INDEX(DATA!$I$30:$I$33,MATCH('1-UseCase ทั้งหมด'!W25,DATA!$I$4:$I$7,0)),""))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ทั้งหมด'!L25)+COUNTBLANK('1-UseCase ทั้งหมด'!M25)+COUNTBLANK('1-UseCase ทั้งหมด'!O25)+COUNTBLANK('1-UseCase ทั้งหมด'!P25)+COUNTBLANK('1-UseCase ทั้งหมด'!R25)+COUNTBLANK('1-UseCase ทั้งหมด'!S25)+COUNTBLANK('1-UseCase ทั้งหมด'!T25)+COUNTBLANK('1-UseCase ทั้งหมด'!U25)+COUNTBLANK('1-UseCase ทั้งหมด'!V25)+COUNTBLANK('1-UseCase ทั้งหมด'!W25))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ทั้งหมด'!L26,DATA!$R$4:$R$8,0)),""))</f>
        <v/>
      </c>
      <c r="E26" s="34">
        <f>IF('1-UseCase ทั้งหมด'!B26="","",IFERROR(INDEX(DATA!$S$30:$S$34,MATCH('1-UseCase ทั้งหมด'!M26,DATA!$S$4:$S$8,0)),""))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ทั้งหมด'!O26,DATA!$B$4:$B$9,0)),""))</f>
        <v/>
      </c>
      <c r="H26" s="34">
        <f>IF('1-UseCase ทั้งหมด'!B26="","",IFERROR(INDEX(DATA!$C$30:$C$33,MATCH('1-UseCase ทั้งหมด'!P26,DATA!$C$4:$C$7,0)),""))</f>
        <v/>
      </c>
      <c r="I26" s="34">
        <f>IF('1-UseCase ทั้งหมด'!B26="","",IFERROR(INDEX(DATA!$D$30:$D$32,MATCH('1-UseCase ทั้งหมด'!R26,DATA!$D$4:$D$6,0)),""))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ทั้งหมด'!S26,DATA!$E$4:$E$7,0)),""))</f>
        <v/>
      </c>
      <c r="L26" s="34">
        <f>IF('1-UseCase ทั้งหมด'!B26="","",IFERROR(INDEX(DATA!$F$30:$F$32,MATCH('1-UseCase ทั้งหมด'!T26,DATA!$F$4:$F$6,0)),""))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ทั้งหมด'!U26,DATA!$G$4:$G$6,0)),""))</f>
        <v/>
      </c>
      <c r="O26" s="34">
        <f>IF('1-UseCase ทั้งหมด'!B26="","",IFERROR(INDEX(DATA!$H$30:$H$32,MATCH('1-UseCase ทั้งหมด'!V26,DATA!$H$4:$H$6,0)),""))</f>
        <v/>
      </c>
      <c r="P26" s="34">
        <f>IF('1-UseCase ทั้งหมด'!B26="","",IFERROR(INDEX(DATA!$I$30:$I$33,MATCH('1-UseCase ทั้งหมด'!W26,DATA!$I$4:$I$7,0)),""))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ทั้งหมด'!L26)+COUNTBLANK('1-UseCase ทั้งหมด'!M26)+COUNTBLANK('1-UseCase ทั้งหมด'!O26)+COUNTBLANK('1-UseCase ทั้งหมด'!P26)+COUNTBLANK('1-UseCase ทั้งหมด'!R26)+COUNTBLANK('1-UseCase ทั้งหมด'!S26)+COUNTBLANK('1-UseCase ทั้งหมด'!T26)+COUNTBLANK('1-UseCase ทั้งหมด'!U26)+COUNTBLANK('1-UseCase ทั้งหมด'!V26)+COUNTBLANK('1-UseCase ทั้งหมด'!W26))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ทั้งหมด'!L27,DATA!$R$4:$R$8,0)),""))</f>
        <v/>
      </c>
      <c r="E27" s="34">
        <f>IF('1-UseCase ทั้งหมด'!B27="","",IFERROR(INDEX(DATA!$S$30:$S$34,MATCH('1-UseCase ทั้งหมด'!M27,DATA!$S$4:$S$8,0)),""))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ทั้งหมด'!O27,DATA!$B$4:$B$9,0)),""))</f>
        <v/>
      </c>
      <c r="H27" s="34">
        <f>IF('1-UseCase ทั้งหมด'!B27="","",IFERROR(INDEX(DATA!$C$30:$C$33,MATCH('1-UseCase ทั้งหมด'!P27,DATA!$C$4:$C$7,0)),""))</f>
        <v/>
      </c>
      <c r="I27" s="34">
        <f>IF('1-UseCase ทั้งหมด'!B27="","",IFERROR(INDEX(DATA!$D$30:$D$32,MATCH('1-UseCase ทั้งหมด'!R27,DATA!$D$4:$D$6,0)),""))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ทั้งหมด'!S27,DATA!$E$4:$E$7,0)),""))</f>
        <v/>
      </c>
      <c r="L27" s="34">
        <f>IF('1-UseCase ทั้งหมด'!B27="","",IFERROR(INDEX(DATA!$F$30:$F$32,MATCH('1-UseCase ทั้งหมด'!T27,DATA!$F$4:$F$6,0)),""))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ทั้งหมด'!U27,DATA!$G$4:$G$6,0)),""))</f>
        <v/>
      </c>
      <c r="O27" s="34">
        <f>IF('1-UseCase ทั้งหมด'!B27="","",IFERROR(INDEX(DATA!$H$30:$H$32,MATCH('1-UseCase ทั้งหมด'!V27,DATA!$H$4:$H$6,0)),""))</f>
        <v/>
      </c>
      <c r="P27" s="34">
        <f>IF('1-UseCase ทั้งหมด'!B27="","",IFERROR(INDEX(DATA!$I$30:$I$33,MATCH('1-UseCase ทั้งหมด'!W27,DATA!$I$4:$I$7,0)),""))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ทั้งหมด'!L27)+COUNTBLANK('1-UseCase ทั้งหมด'!M27)+COUNTBLANK('1-UseCase ทั้งหมด'!O27)+COUNTBLANK('1-UseCase ทั้งหมด'!P27)+COUNTBLANK('1-UseCase ทั้งหมด'!R27)+COUNTBLANK('1-UseCase ทั้งหมด'!S27)+COUNTBLANK('1-UseCase ทั้งหมด'!T27)+COUNTBLANK('1-UseCase ทั้งหมด'!U27)+COUNTBLANK('1-UseCase ทั้งหมด'!V27)+COUNTBLANK('1-UseCase ทั้งหมด'!W27))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ทั้งหมด'!L28,DATA!$R$4:$R$8,0)),""))</f>
        <v/>
      </c>
      <c r="E28" s="34">
        <f>IF('1-UseCase ทั้งหมด'!B28="","",IFERROR(INDEX(DATA!$S$30:$S$34,MATCH('1-UseCase ทั้งหมด'!M28,DATA!$S$4:$S$8,0)),""))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ทั้งหมด'!O28,DATA!$B$4:$B$9,0)),""))</f>
        <v/>
      </c>
      <c r="H28" s="34">
        <f>IF('1-UseCase ทั้งหมด'!B28="","",IFERROR(INDEX(DATA!$C$30:$C$33,MATCH('1-UseCase ทั้งหมด'!P28,DATA!$C$4:$C$7,0)),""))</f>
        <v/>
      </c>
      <c r="I28" s="34">
        <f>IF('1-UseCase ทั้งหมด'!B28="","",IFERROR(INDEX(DATA!$D$30:$D$32,MATCH('1-UseCase ทั้งหมด'!R28,DATA!$D$4:$D$6,0)),""))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ทั้งหมด'!S28,DATA!$E$4:$E$7,0)),""))</f>
        <v/>
      </c>
      <c r="L28" s="34">
        <f>IF('1-UseCase ทั้งหมด'!B28="","",IFERROR(INDEX(DATA!$F$30:$F$32,MATCH('1-UseCase ทั้งหมด'!T28,DATA!$F$4:$F$6,0)),""))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ทั้งหมด'!U28,DATA!$G$4:$G$6,0)),""))</f>
        <v/>
      </c>
      <c r="O28" s="34">
        <f>IF('1-UseCase ทั้งหมด'!B28="","",IFERROR(INDEX(DATA!$H$30:$H$32,MATCH('1-UseCase ทั้งหมด'!V28,DATA!$H$4:$H$6,0)),""))</f>
        <v/>
      </c>
      <c r="P28" s="34">
        <f>IF('1-UseCase ทั้งหมด'!B28="","",IFERROR(INDEX(DATA!$I$30:$I$33,MATCH('1-UseCase ทั้งหมด'!W28,DATA!$I$4:$I$7,0)),""))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ทั้งหมด'!L28)+COUNTBLANK('1-UseCase ทั้งหมด'!M28)+COUNTBLANK('1-UseCase ทั้งหมด'!O28)+COUNTBLANK('1-UseCase ทั้งหมด'!P28)+COUNTBLANK('1-UseCase ทั้งหมด'!R28)+COUNTBLANK('1-UseCase ทั้งหมด'!S28)+COUNTBLANK('1-UseCase ทั้งหมด'!T28)+COUNTBLANK('1-UseCase ทั้งหมด'!U28)+COUNTBLANK('1-UseCase ทั้งหมด'!V28)+COUNTBLANK('1-UseCase ทั้งหมด'!W28))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ทั้งหมด'!L29,DATA!$R$4:$R$8,0)),""))</f>
        <v/>
      </c>
      <c r="E29" s="34">
        <f>IF('1-UseCase ทั้งหมด'!B29="","",IFERROR(INDEX(DATA!$S$30:$S$34,MATCH('1-UseCase ทั้งหมด'!M29,DATA!$S$4:$S$8,0)),""))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ทั้งหมด'!O29,DATA!$B$4:$B$9,0)),""))</f>
        <v/>
      </c>
      <c r="H29" s="34">
        <f>IF('1-UseCase ทั้งหมด'!B29="","",IFERROR(INDEX(DATA!$C$30:$C$33,MATCH('1-UseCase ทั้งหมด'!P29,DATA!$C$4:$C$7,0)),""))</f>
        <v/>
      </c>
      <c r="I29" s="34">
        <f>IF('1-UseCase ทั้งหมด'!B29="","",IFERROR(INDEX(DATA!$D$30:$D$32,MATCH('1-UseCase ทั้งหมด'!R29,DATA!$D$4:$D$6,0)),""))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ทั้งหมด'!S29,DATA!$E$4:$E$7,0)),""))</f>
        <v/>
      </c>
      <c r="L29" s="34">
        <f>IF('1-UseCase ทั้งหมด'!B29="","",IFERROR(INDEX(DATA!$F$30:$F$32,MATCH('1-UseCase ทั้งหมด'!T29,DATA!$F$4:$F$6,0)),""))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ทั้งหมด'!U29,DATA!$G$4:$G$6,0)),""))</f>
        <v/>
      </c>
      <c r="O29" s="34">
        <f>IF('1-UseCase ทั้งหมด'!B29="","",IFERROR(INDEX(DATA!$H$30:$H$32,MATCH('1-UseCase ทั้งหมด'!V29,DATA!$H$4:$H$6,0)),""))</f>
        <v/>
      </c>
      <c r="P29" s="34">
        <f>IF('1-UseCase ทั้งหมด'!B29="","",IFERROR(INDEX(DATA!$I$30:$I$33,MATCH('1-UseCase ทั้งหมด'!W29,DATA!$I$4:$I$7,0)),""))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ทั้งหมด'!L29)+COUNTBLANK('1-UseCase ทั้งหมด'!M29)+COUNTBLANK('1-UseCase ทั้งหมด'!O29)+COUNTBLANK('1-UseCase ทั้งหมด'!P29)+COUNTBLANK('1-UseCase ทั้งหมด'!R29)+COUNTBLANK('1-UseCase ทั้งหมด'!S29)+COUNTBLANK('1-UseCase ทั้งหมด'!T29)+COUNTBLANK('1-UseCase ทั้งหมด'!U29)+COUNTBLANK('1-UseCase ทั้งหมด'!V29)+COUNTBLANK('1-UseCase ทั้งหมด'!W29))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ทั้งหมด'!L30,DATA!$R$4:$R$8,0)),""))</f>
        <v/>
      </c>
      <c r="E30" s="34">
        <f>IF('1-UseCase ทั้งหมด'!B30="","",IFERROR(INDEX(DATA!$S$30:$S$34,MATCH('1-UseCase ทั้งหมด'!M30,DATA!$S$4:$S$8,0)),""))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ทั้งหมด'!O30,DATA!$B$4:$B$9,0)),""))</f>
        <v/>
      </c>
      <c r="H30" s="34">
        <f>IF('1-UseCase ทั้งหมด'!B30="","",IFERROR(INDEX(DATA!$C$30:$C$33,MATCH('1-UseCase ทั้งหมด'!P30,DATA!$C$4:$C$7,0)),""))</f>
        <v/>
      </c>
      <c r="I30" s="34">
        <f>IF('1-UseCase ทั้งหมด'!B30="","",IFERROR(INDEX(DATA!$D$30:$D$32,MATCH('1-UseCase ทั้งหมด'!R30,DATA!$D$4:$D$6,0)),""))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ทั้งหมด'!S30,DATA!$E$4:$E$7,0)),""))</f>
        <v/>
      </c>
      <c r="L30" s="34">
        <f>IF('1-UseCase ทั้งหมด'!B30="","",IFERROR(INDEX(DATA!$F$30:$F$32,MATCH('1-UseCase ทั้งหมด'!T30,DATA!$F$4:$F$6,0)),""))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ทั้งหมด'!U30,DATA!$G$4:$G$6,0)),""))</f>
        <v/>
      </c>
      <c r="O30" s="34">
        <f>IF('1-UseCase ทั้งหมด'!B30="","",IFERROR(INDEX(DATA!$H$30:$H$32,MATCH('1-UseCase ทั้งหมด'!V30,DATA!$H$4:$H$6,0)),""))</f>
        <v/>
      </c>
      <c r="P30" s="34">
        <f>IF('1-UseCase ทั้งหมด'!B30="","",IFERROR(INDEX(DATA!$I$30:$I$33,MATCH('1-UseCase ทั้งหมด'!W30,DATA!$I$4:$I$7,0)),""))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ทั้งหมด'!L30)+COUNTBLANK('1-UseCase ทั้งหมด'!M30)+COUNTBLANK('1-UseCase ทั้งหมด'!O30)+COUNTBLANK('1-UseCase ทั้งหมด'!P30)+COUNTBLANK('1-UseCase ทั้งหมด'!R30)+COUNTBLANK('1-UseCase ทั้งหมด'!S30)+COUNTBLANK('1-UseCase ทั้งหมด'!T30)+COUNTBLANK('1-UseCase ทั้งหมด'!U30)+COUNTBLANK('1-UseCase ทั้งหมด'!V30)+COUNTBLANK('1-UseCase ทั้งหมด'!W30))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ทั้งหมด'!L31,DATA!$R$4:$R$8,0)),""))</f>
        <v/>
      </c>
      <c r="E31" s="34">
        <f>IF('1-UseCase ทั้งหมด'!B31="","",IFERROR(INDEX(DATA!$S$30:$S$34,MATCH('1-UseCase ทั้งหมด'!M31,DATA!$S$4:$S$8,0)),""))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ทั้งหมด'!O31,DATA!$B$4:$B$9,0)),""))</f>
        <v/>
      </c>
      <c r="H31" s="34">
        <f>IF('1-UseCase ทั้งหมด'!B31="","",IFERROR(INDEX(DATA!$C$30:$C$33,MATCH('1-UseCase ทั้งหมด'!P31,DATA!$C$4:$C$7,0)),""))</f>
        <v/>
      </c>
      <c r="I31" s="34">
        <f>IF('1-UseCase ทั้งหมด'!B31="","",IFERROR(INDEX(DATA!$D$30:$D$32,MATCH('1-UseCase ทั้งหมด'!R31,DATA!$D$4:$D$6,0)),""))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ทั้งหมด'!S31,DATA!$E$4:$E$7,0)),""))</f>
        <v/>
      </c>
      <c r="L31" s="34">
        <f>IF('1-UseCase ทั้งหมด'!B31="","",IFERROR(INDEX(DATA!$F$30:$F$32,MATCH('1-UseCase ทั้งหมด'!T31,DATA!$F$4:$F$6,0)),""))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ทั้งหมด'!U31,DATA!$G$4:$G$6,0)),""))</f>
        <v/>
      </c>
      <c r="O31" s="34">
        <f>IF('1-UseCase ทั้งหมด'!B31="","",IFERROR(INDEX(DATA!$H$30:$H$32,MATCH('1-UseCase ทั้งหมด'!V31,DATA!$H$4:$H$6,0)),""))</f>
        <v/>
      </c>
      <c r="P31" s="34">
        <f>IF('1-UseCase ทั้งหมด'!B31="","",IFERROR(INDEX(DATA!$I$30:$I$33,MATCH('1-UseCase ทั้งหมด'!W31,DATA!$I$4:$I$7,0)),""))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ทั้งหมด'!L31)+COUNTBLANK('1-UseCase ทั้งหมด'!M31)+COUNTBLANK('1-UseCase ทั้งหมด'!O31)+COUNTBLANK('1-UseCase ทั้งหมด'!P31)+COUNTBLANK('1-UseCase ทั้งหมด'!R31)+COUNTBLANK('1-UseCase ทั้งหมด'!S31)+COUNTBLANK('1-UseCase ทั้งหมด'!T31)+COUNTBLANK('1-UseCase ทั้งหมด'!U31)+COUNTBLANK('1-UseCase ทั้งหมด'!V31)+COUNTBLANK('1-UseCase ทั้งหมด'!W31))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ทั้งหมด'!L32,DATA!$R$4:$R$8,0)),""))</f>
        <v/>
      </c>
      <c r="E32" s="34">
        <f>IF('1-UseCase ทั้งหมด'!B32="","",IFERROR(INDEX(DATA!$S$30:$S$34,MATCH('1-UseCase ทั้งหมด'!M32,DATA!$S$4:$S$8,0)),""))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ทั้งหมด'!O32,DATA!$B$4:$B$9,0)),""))</f>
        <v/>
      </c>
      <c r="H32" s="34">
        <f>IF('1-UseCase ทั้งหมด'!B32="","",IFERROR(INDEX(DATA!$C$30:$C$33,MATCH('1-UseCase ทั้งหมด'!P32,DATA!$C$4:$C$7,0)),""))</f>
        <v/>
      </c>
      <c r="I32" s="34">
        <f>IF('1-UseCase ทั้งหมด'!B32="","",IFERROR(INDEX(DATA!$D$30:$D$32,MATCH('1-UseCase ทั้งหมด'!R32,DATA!$D$4:$D$6,0)),""))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ทั้งหมด'!S32,DATA!$E$4:$E$7,0)),""))</f>
        <v/>
      </c>
      <c r="L32" s="34">
        <f>IF('1-UseCase ทั้งหมด'!B32="","",IFERROR(INDEX(DATA!$F$30:$F$32,MATCH('1-UseCase ทั้งหมด'!T32,DATA!$F$4:$F$6,0)),""))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ทั้งหมด'!U32,DATA!$G$4:$G$6,0)),""))</f>
        <v/>
      </c>
      <c r="O32" s="34">
        <f>IF('1-UseCase ทั้งหมด'!B32="","",IFERROR(INDEX(DATA!$H$30:$H$32,MATCH('1-UseCase ทั้งหมด'!V32,DATA!$H$4:$H$6,0)),""))</f>
        <v/>
      </c>
      <c r="P32" s="34">
        <f>IF('1-UseCase ทั้งหมด'!B32="","",IFERROR(INDEX(DATA!$I$30:$I$33,MATCH('1-UseCase ทั้งหมด'!W32,DATA!$I$4:$I$7,0)),""))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ทั้งหมด'!L32)+COUNTBLANK('1-UseCase ทั้งหมด'!M32)+COUNTBLANK('1-UseCase ทั้งหมด'!O32)+COUNTBLANK('1-UseCase ทั้งหมด'!P32)+COUNTBLANK('1-UseCase ทั้งหมด'!R32)+COUNTBLANK('1-UseCase ทั้งหมด'!S32)+COUNTBLANK('1-UseCase ทั้งหมด'!T32)+COUNTBLANK('1-UseCase ทั้งหมด'!U32)+COUNTBLANK('1-UseCase ทั้งหมด'!V32)+COUNTBLANK('1-UseCase ทั้งหมด'!W32))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ทั้งหมด'!L33,DATA!$R$4:$R$8,0)),""))</f>
        <v/>
      </c>
      <c r="E33" s="34">
        <f>IF('1-UseCase ทั้งหมด'!B33="","",IFERROR(INDEX(DATA!$S$30:$S$34,MATCH('1-UseCase ทั้งหมด'!M33,DATA!$S$4:$S$8,0)),""))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ทั้งหมด'!O33,DATA!$B$4:$B$9,0)),""))</f>
        <v/>
      </c>
      <c r="H33" s="34">
        <f>IF('1-UseCase ทั้งหมด'!B33="","",IFERROR(INDEX(DATA!$C$30:$C$33,MATCH('1-UseCase ทั้งหมด'!P33,DATA!$C$4:$C$7,0)),""))</f>
        <v/>
      </c>
      <c r="I33" s="34">
        <f>IF('1-UseCase ทั้งหมด'!B33="","",IFERROR(INDEX(DATA!$D$30:$D$32,MATCH('1-UseCase ทั้งหมด'!R33,DATA!$D$4:$D$6,0)),""))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ทั้งหมด'!S33,DATA!$E$4:$E$7,0)),""))</f>
        <v/>
      </c>
      <c r="L33" s="34">
        <f>IF('1-UseCase ทั้งหมด'!B33="","",IFERROR(INDEX(DATA!$F$30:$F$32,MATCH('1-UseCase ทั้งหมด'!T33,DATA!$F$4:$F$6,0)),""))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ทั้งหมด'!U33,DATA!$G$4:$G$6,0)),""))</f>
        <v/>
      </c>
      <c r="O33" s="34">
        <f>IF('1-UseCase ทั้งหมด'!B33="","",IFERROR(INDEX(DATA!$H$30:$H$32,MATCH('1-UseCase ทั้งหมด'!V33,DATA!$H$4:$H$6,0)),""))</f>
        <v/>
      </c>
      <c r="P33" s="34">
        <f>IF('1-UseCase ทั้งหมด'!B33="","",IFERROR(INDEX(DATA!$I$30:$I$33,MATCH('1-UseCase ทั้งหมด'!W33,DATA!$I$4:$I$7,0)),""))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ทั้งหมด'!L33)+COUNTBLANK('1-UseCase ทั้งหมด'!M33)+COUNTBLANK('1-UseCase ทั้งหมด'!O33)+COUNTBLANK('1-UseCase ทั้งหมด'!P33)+COUNTBLANK('1-UseCase ทั้งหมด'!R33)+COUNTBLANK('1-UseCase ทั้งหมด'!S33)+COUNTBLANK('1-UseCase ทั้งหมด'!T33)+COUNTBLANK('1-UseCase ทั้งหมด'!U33)+COUNTBLANK('1-UseCase ทั้งหมด'!V33)+COUNTBLANK('1-UseCase ทั้งหมด'!W33))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ทั้งหมด'!L34,DATA!$R$4:$R$8,0)),""))</f>
        <v/>
      </c>
      <c r="E34" s="34">
        <f>IF('1-UseCase ทั้งหมด'!B34="","",IFERROR(INDEX(DATA!$S$30:$S$34,MATCH('1-UseCase ทั้งหมด'!M34,DATA!$S$4:$S$8,0)),""))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ทั้งหมด'!O34,DATA!$B$4:$B$9,0)),""))</f>
        <v/>
      </c>
      <c r="H34" s="34">
        <f>IF('1-UseCase ทั้งหมด'!B34="","",IFERROR(INDEX(DATA!$C$30:$C$33,MATCH('1-UseCase ทั้งหมด'!P34,DATA!$C$4:$C$7,0)),""))</f>
        <v/>
      </c>
      <c r="I34" s="34">
        <f>IF('1-UseCase ทั้งหมด'!B34="","",IFERROR(INDEX(DATA!$D$30:$D$32,MATCH('1-UseCase ทั้งหมด'!R34,DATA!$D$4:$D$6,0)),""))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ทั้งหมด'!S34,DATA!$E$4:$E$7,0)),""))</f>
        <v/>
      </c>
      <c r="L34" s="34">
        <f>IF('1-UseCase ทั้งหมด'!B34="","",IFERROR(INDEX(DATA!$F$30:$F$32,MATCH('1-UseCase ทั้งหมด'!T34,DATA!$F$4:$F$6,0)),""))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ทั้งหมด'!U34,DATA!$G$4:$G$6,0)),""))</f>
        <v/>
      </c>
      <c r="O34" s="34">
        <f>IF('1-UseCase ทั้งหมด'!B34="","",IFERROR(INDEX(DATA!$H$30:$H$32,MATCH('1-UseCase ทั้งหมด'!V34,DATA!$H$4:$H$6,0)),""))</f>
        <v/>
      </c>
      <c r="P34" s="34">
        <f>IF('1-UseCase ทั้งหมด'!B34="","",IFERROR(INDEX(DATA!$I$30:$I$33,MATCH('1-UseCase ทั้งหมด'!W34,DATA!$I$4:$I$7,0)),""))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ทั้งหมด'!L34)+COUNTBLANK('1-UseCase ทั้งหมด'!M34)+COUNTBLANK('1-UseCase ทั้งหมด'!O34)+COUNTBLANK('1-UseCase ทั้งหมด'!P34)+COUNTBLANK('1-UseCase ทั้งหมด'!R34)+COUNTBLANK('1-UseCase ทั้งหมด'!S34)+COUNTBLANK('1-UseCase ทั้งหมด'!T34)+COUNTBLANK('1-UseCase ทั้งหมด'!U34)+COUNTBLANK('1-UseCase ทั้งหมด'!V34)+COUNTBLANK('1-UseCase ทั้งหมด'!W34))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ทั้งหมด'!L35,DATA!$R$4:$R$8,0)),""))</f>
        <v/>
      </c>
      <c r="E35" s="34">
        <f>IF('1-UseCase ทั้งหมด'!B35="","",IFERROR(INDEX(DATA!$S$30:$S$34,MATCH('1-UseCase ทั้งหมด'!M35,DATA!$S$4:$S$8,0)),""))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ทั้งหมด'!O35,DATA!$B$4:$B$9,0)),""))</f>
        <v/>
      </c>
      <c r="H35" s="34">
        <f>IF('1-UseCase ทั้งหมด'!B35="","",IFERROR(INDEX(DATA!$C$30:$C$33,MATCH('1-UseCase ทั้งหมด'!P35,DATA!$C$4:$C$7,0)),""))</f>
        <v/>
      </c>
      <c r="I35" s="34">
        <f>IF('1-UseCase ทั้งหมด'!B35="","",IFERROR(INDEX(DATA!$D$30:$D$32,MATCH('1-UseCase ทั้งหมด'!R35,DATA!$D$4:$D$6,0)),""))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ทั้งหมด'!S35,DATA!$E$4:$E$7,0)),""))</f>
        <v/>
      </c>
      <c r="L35" s="34">
        <f>IF('1-UseCase ทั้งหมด'!B35="","",IFERROR(INDEX(DATA!$F$30:$F$32,MATCH('1-UseCase ทั้งหมด'!T35,DATA!$F$4:$F$6,0)),""))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ทั้งหมด'!U35,DATA!$G$4:$G$6,0)),""))</f>
        <v/>
      </c>
      <c r="O35" s="34">
        <f>IF('1-UseCase ทั้งหมด'!B35="","",IFERROR(INDEX(DATA!$H$30:$H$32,MATCH('1-UseCase ทั้งหมด'!V35,DATA!$H$4:$H$6,0)),""))</f>
        <v/>
      </c>
      <c r="P35" s="34">
        <f>IF('1-UseCase ทั้งหมด'!B35="","",IFERROR(INDEX(DATA!$I$30:$I$33,MATCH('1-UseCase ทั้งหมด'!W35,DATA!$I$4:$I$7,0)),""))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ทั้งหมด'!L35)+COUNTBLANK('1-UseCase ทั้งหมด'!M35)+COUNTBLANK('1-UseCase ทั้งหมด'!O35)+COUNTBLANK('1-UseCase ทั้งหมด'!P35)+COUNTBLANK('1-UseCase ทั้งหมด'!R35)+COUNTBLANK('1-UseCase ทั้งหมด'!S35)+COUNTBLANK('1-UseCase ทั้งหมด'!T35)+COUNTBLANK('1-UseCase ทั้งหมด'!U35)+COUNTBLANK('1-UseCase ทั้งหมด'!V35)+COUNTBLANK('1-UseCase ทั้งหมด'!W35))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ทั้งหมด'!L36,DATA!$R$4:$R$8,0)),""))</f>
        <v/>
      </c>
      <c r="E36" s="34">
        <f>IF('1-UseCase ทั้งหมด'!B36="","",IFERROR(INDEX(DATA!$S$30:$S$34,MATCH('1-UseCase ทั้งหมด'!M36,DATA!$S$4:$S$8,0)),""))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ทั้งหมด'!O36,DATA!$B$4:$B$9,0)),""))</f>
        <v/>
      </c>
      <c r="H36" s="34">
        <f>IF('1-UseCase ทั้งหมด'!B36="","",IFERROR(INDEX(DATA!$C$30:$C$33,MATCH('1-UseCase ทั้งหมด'!P36,DATA!$C$4:$C$7,0)),""))</f>
        <v/>
      </c>
      <c r="I36" s="34">
        <f>IF('1-UseCase ทั้งหมด'!B36="","",IFERROR(INDEX(DATA!$D$30:$D$32,MATCH('1-UseCase ทั้งหมด'!R36,DATA!$D$4:$D$6,0)),""))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ทั้งหมด'!S36,DATA!$E$4:$E$7,0)),""))</f>
        <v/>
      </c>
      <c r="L36" s="34">
        <f>IF('1-UseCase ทั้งหมด'!B36="","",IFERROR(INDEX(DATA!$F$30:$F$32,MATCH('1-UseCase ทั้งหมด'!T36,DATA!$F$4:$F$6,0)),""))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ทั้งหมด'!U36,DATA!$G$4:$G$6,0)),""))</f>
        <v/>
      </c>
      <c r="O36" s="34">
        <f>IF('1-UseCase ทั้งหมด'!B36="","",IFERROR(INDEX(DATA!$H$30:$H$32,MATCH('1-UseCase ทั้งหมด'!V36,DATA!$H$4:$H$6,0)),""))</f>
        <v/>
      </c>
      <c r="P36" s="34">
        <f>IF('1-UseCase ทั้งหมด'!B36="","",IFERROR(INDEX(DATA!$I$30:$I$33,MATCH('1-UseCase ทั้งหมด'!W36,DATA!$I$4:$I$7,0)),""))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ทั้งหมด'!L36)+COUNTBLANK('1-UseCase ทั้งหมด'!M36)+COUNTBLANK('1-UseCase ทั้งหมด'!O36)+COUNTBLANK('1-UseCase ทั้งหมด'!P36)+COUNTBLANK('1-UseCase ทั้งหมด'!R36)+COUNTBLANK('1-UseCase ทั้งหมด'!S36)+COUNTBLANK('1-UseCase ทั้งหมด'!T36)+COUNTBLANK('1-UseCase ทั้งหมด'!U36)+COUNTBLANK('1-UseCase ทั้งหมด'!V36)+COUNTBLANK('1-UseCase ทั้งหมด'!W36))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(คอลัมน์ L M O P R S T U V W)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2" customWidth="1" min="31" max="31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รูปแบบการจัดเก็บข้อมูลปัจจุบัน</t>
        </is>
      </c>
      <c r="C3" s="40" t="inlineStr">
        <is>
          <t>ระยะเวลาข้อมูลย้อนหลังที่มี</t>
        </is>
      </c>
      <c r="D3" s="40" t="inlineStr">
        <is>
          <t>สิทธิ์ในการนำข้อมูลมาใช้</t>
        </is>
      </c>
      <c r="E3" s="40" t="inlineStr">
        <is>
          <t>การเชื่อมต่อกับระบบเดิม</t>
        </is>
      </c>
      <c r="F3" s="40" t="inlineStr">
        <is>
          <t>ผู้ดูแลระบบหลังส่งมอบ</t>
        </is>
      </c>
      <c r="G3" s="40" t="inlineStr">
        <is>
          <t>ผลกระทบเมื่อ AI ผิดพลาด</t>
        </is>
      </c>
      <c r="H3" s="40" t="inlineStr">
        <is>
          <t>การตรวจสอบผลลัพธ์โดยบุคลากร</t>
        </is>
      </c>
      <c r="I3" s="40" t="inlineStr">
        <is>
          <t>ระดับชั้นความลับของข้อมูล</t>
        </is>
      </c>
      <c r="J3" s="40" t="inlineStr">
        <is>
          <t>ระดับความสำคัญตามความเห็นผู้ใช้</t>
        </is>
      </c>
      <c r="K3" s="40" t="inlineStr">
        <is>
          <t>ประเภทข้อมูลนำเข้า</t>
        </is>
      </c>
      <c r="L3" s="40" t="inlineStr">
        <is>
          <t>ภาษาที่ต้องรองรับ</t>
        </is>
      </c>
      <c r="M3" s="40" t="inlineStr">
        <is>
          <t>เวลาตอบสนองที่ยอมรับได้</t>
        </is>
      </c>
      <c r="N3" s="40" t="inlineStr">
        <is>
          <t>ช่วงเวลาที่ต้องให้บริการ</t>
        </is>
      </c>
      <c r="O3" s="40" t="inlineStr">
        <is>
          <t>ความละเอียดของภาพ</t>
        </is>
      </c>
      <c r="P3" s="40" t="inlineStr">
        <is>
          <t>ที่ตั้งระบบ</t>
        </is>
      </c>
      <c r="Q3" s="40" t="inlineStr">
        <is>
          <t>การปรับโมเดลด้วยข้อมูลองค์กร</t>
        </is>
      </c>
      <c r="R3" s="40" t="inlineStr">
        <is>
          <t>เวลาที่ใช้กับงานนี้ในปัจจุบัน</t>
        </is>
      </c>
      <c r="S3" s="40" t="inlineStr">
        <is>
          <t>มูลค่าความสูญเสียต่อปี</t>
        </is>
      </c>
      <c r="T3" s="40" t="inlineStr">
        <is>
          <t>จำนวนผู้ใช้งานต่อวัน</t>
        </is>
      </c>
      <c r="U3" s="40" t="inlineStr">
        <is>
          <t>ผู้ใช้งานพร้อมกันสูงสุด</t>
        </is>
      </c>
      <c r="V3" s="40" t="inlineStr">
        <is>
          <t>ปริมาณรายการที่ประมวลผลต่อวัน</t>
        </is>
      </c>
      <c r="W3" s="40" t="inlineStr">
        <is>
          <t>ปริมาณข้อมูลนำเข้าต่อวัน</t>
        </is>
      </c>
      <c r="X3" s="40" t="inlineStr">
        <is>
          <t>ขนาดคลังเอกสารทั้งหมด</t>
        </is>
      </c>
      <c r="Y3" s="40" t="inlineStr">
        <is>
          <t>จุดตรวจที่ทำงานพร้อมกัน</t>
        </is>
      </c>
      <c r="Z3" s="40" t="inlineStr">
        <is>
          <t>รูปแบบการติดตั้ง</t>
        </is>
      </c>
      <c r="AB3" s="40" t="inlineStr">
        <is>
          <t>ระยะเวลาการจัดเก็บข้อมูล</t>
        </is>
      </c>
      <c r="AC3" s="40" t="inlineStr">
        <is>
          <t>ความถี่ในการฝึกโมเดลใหม่</t>
        </is>
      </c>
      <c r="AD3" s="40" t="inlineStr">
        <is>
          <t>ผลกระทบเมื่อระบบตอบสนองช้าลง</t>
        </is>
      </c>
      <c r="AE3" s="40" t="inlineStr">
        <is>
          <t>ลักษณะการเริ่มทำงานของระบบ</t>
        </is>
      </c>
      <c r="AH3" s="41" t="inlineStr">
        <is>
          <t>น้ำหนักแต่ละปัจจัย</t>
        </is>
      </c>
    </row>
    <row r="4">
      <c r="A4" s="42" t="inlineStr">
        <is>
          <t>บริษัท แกรนด์เอสเค คอร์ปอเรชั่น จำกัด</t>
        </is>
      </c>
      <c r="B4" s="42" t="inlineStr">
        <is>
          <t>เอกสารกระดาษ / บันทึกด้วยลายมือ - ต้องแปลงเป็นดิจิทัลก่อน</t>
        </is>
      </c>
      <c r="C4" s="42" t="inlineStr">
        <is>
          <t>ไม่มีข้อมูลย้อนหลัง - ต้องเริ่มเก็บใหม่</t>
        </is>
      </c>
      <c r="D4" s="42" t="inlineStr">
        <is>
          <t>ได้ทันที - ข้อมูลอยู่ในความดูแลของหน่วยงาน</t>
        </is>
      </c>
      <c r="E4" s="42" t="inlineStr">
        <is>
          <t>ไม่จำเป็น - ระบบทำงานแยกอิสระได้</t>
        </is>
      </c>
      <c r="F4" s="42" t="inlineStr">
        <is>
          <t>มี - หน่วยงานมีผู้รับผิดชอบดูแลต่อ (ระบุชื่อในหมายเหตุ)</t>
        </is>
      </c>
      <c r="G4" s="42" t="inlineStr">
        <is>
          <t>ต่ำ - ตรวจพบและแก้ไขได้ทันที ไม่กระทบผู้อื่น</t>
        </is>
      </c>
      <c r="H4" s="42" t="inlineStr">
        <is>
          <t>ไม่จำเป็น - ใช้ผลลัพธ์จาก AI ได้ทันที</t>
        </is>
      </c>
      <c r="I4" s="42" t="inlineStr">
        <is>
          <t>สาธารณะ - เปิดเผยได้ ไม่มีผลกระทบ</t>
        </is>
      </c>
      <c r="J4" s="42" t="inlineStr">
        <is>
          <t>สูง - ต้องการเร่งด่วน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ทันที - ไม่เกิน 2 วินาที (ตอบกลับในกระบวนการทันที)</t>
        </is>
      </c>
      <c r="N4" s="42" t="inlineStr">
        <is>
          <t>เวลาทำการ 8:00 - 18:00 น.</t>
        </is>
      </c>
      <c r="O4" s="42" t="inlineStr">
        <is>
          <t>ไม่เกี่ยวข้อง</t>
        </is>
      </c>
      <c r="P4" s="42" t="inlineStr">
        <is>
          <t>On-premise เท่านั้น</t>
        </is>
      </c>
      <c r="Q4" s="42" t="inlineStr">
        <is>
          <t>ไม่จำเป็น - ใช้โมเดลสำเร็จรูปได้ (งานความรู้ทั่วไป)</t>
        </is>
      </c>
      <c r="R4" s="42" t="inlineStr">
        <is>
          <t>น้อยกว่า 4 ชั่วโมง/สัปดาห์ (ไม่ถึงครึ่งวันทำงาน)</t>
        </is>
      </c>
      <c r="S4" s="42" t="inlineStr">
        <is>
          <t>ไม่สามารถประเมินเป็นตัวเงินได้ หรือไม่มีความสูญเสียโดยตรง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รายการ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ไม่ใช่งานสืบค้นเอกสาร</t>
        </is>
      </c>
      <c r="Y4" s="42" t="inlineStr">
        <is>
          <t>ไม่เกี่ยวข้อง - ไม่ใช่งานประมวลผลภาพ</t>
        </is>
      </c>
      <c r="Z4" s="42" t="inlineStr">
        <is>
          <t>ติดตั้งที่ Server กลาง - ส่งข้อมูลผ่านเครือข่ายได้</t>
        </is>
      </c>
      <c r="AB4" s="42" t="inlineStr">
        <is>
          <t>1 ปี</t>
        </is>
      </c>
      <c r="AC4" s="42" t="inlineStr">
        <is>
          <t>ไม่ต้องฝึกโมเดล - ใช้โมเดลสำเร็จรูป</t>
        </is>
      </c>
      <c r="AD4" s="42" t="inlineStr">
        <is>
          <t>ไม่กระทบ - รอได้ ใช้งานได้ตามปกติ</t>
        </is>
      </c>
      <c r="AE4" s="42" t="inlineStr">
        <is>
          <t>ผู้ใช้เรียกใช้งานเอง - เปิดใช้เป็นครั้งคราว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บริษัท เอส.เค.โพลีเมอร์ จำกัด</t>
        </is>
      </c>
      <c r="B5" s="42" t="inlineStr">
        <is>
          <t>ไฟล์ Excel / CSV - นำไปใช้ได้ทันที</t>
        </is>
      </c>
      <c r="C5" s="42" t="inlineStr">
        <is>
          <t>น้อยกว่า 1 ปี - อาจไม่เพียงพอต่อการฝึกโมเดล</t>
        </is>
      </c>
      <c r="D5" s="42" t="inlineStr">
        <is>
          <t>ต้องขออนุมัติก่อน - อยู่ในความดูแลของหน่วยงานอื่นหรือ IT</t>
        </is>
      </c>
      <c r="E5" s="42" t="inlineStr">
        <is>
          <t>จำเป็นบางส่วน - เชื่อมต่อผ่านการนำเข้า/ส่งออกไฟล์เป็นรอบ</t>
        </is>
      </c>
      <c r="F5" s="42" t="inlineStr">
        <is>
          <t>ยังไม่แน่ใจ - อยู่ระหว่างจัดหาผู้รับผิดชอบ</t>
        </is>
      </c>
      <c r="G5" s="42" t="inlineStr">
        <is>
          <t>ปานกลาง - เสียเวลาดำเนินการใหม่ หรือเกิดต้นทุนเพิ่ม</t>
        </is>
      </c>
      <c r="H5" s="42" t="inlineStr">
        <is>
          <t>สุ่มตรวจบางส่วน - เฉพาะรายการที่ AI ไม่มั่นใจ</t>
        </is>
      </c>
      <c r="I5" s="42" t="inlineStr">
        <is>
          <t>ภายในองค์กร - ห้ามเผยแพร่ออกนอกบริษัท</t>
        </is>
      </c>
      <c r="J5" s="42" t="inlineStr">
        <is>
          <t>ปานกลาง - ภายในไตรมาส 2 ถึง 3</t>
        </is>
      </c>
      <c r="K5" s="42" t="inlineStr">
        <is>
          <t>ภาพถ่าย</t>
        </is>
      </c>
      <c r="L5" s="42" t="inlineStr">
        <is>
          <t>อังกฤษ</t>
        </is>
      </c>
      <c r="M5" s="42" t="inlineStr">
        <is>
          <t>เร็ว - 2 ถึง 10 วินาที (ผู้ใช้รอที่หน้าจอได้)</t>
        </is>
      </c>
      <c r="N5" s="42" t="inlineStr">
        <is>
          <t>ขยายเวลา 6:00 - 22:00 น.</t>
        </is>
      </c>
      <c r="O5" s="42" t="inlineStr">
        <is>
          <t>ต่ำกว่า 1 ล้านพิกเซล</t>
        </is>
      </c>
      <c r="P5" s="42" t="inlineStr">
        <is>
          <t>ใช้ Cloud ได้</t>
        </is>
      </c>
      <c r="Q5" s="42" t="inlineStr">
        <is>
          <t>ไม่ต้องฝึกโมเดล แต่ให้เข้าถึงเอกสารขององค์กร (RAG)</t>
        </is>
      </c>
      <c r="R5" s="42" t="inlineStr">
        <is>
          <t>4 - 10 ชั่วโมง/สัปดาห์ (ประมาณ 1 วันทำงาน)</t>
        </is>
      </c>
      <c r="S5" s="42" t="inlineStr">
        <is>
          <t>น้อยกว่า 100,000 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รายการ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ต้องติดตั้งที่หน้างาน - ติดตั้งข้างเครื่องจักรหรือสายพาน</t>
        </is>
      </c>
      <c r="AB5" s="42" t="inlineStr">
        <is>
          <t>2 - 3 ปี</t>
        </is>
      </c>
      <c r="AC5" s="42" t="inlineStr">
        <is>
          <t>ครั้งเดียว - ฝึกเสร็จแล้วใช้งานต่อเนื่อง</t>
        </is>
      </c>
      <c r="AD5" s="42" t="inlineStr">
        <is>
          <t>กระทบบ้าง - ช่วงเร่งด่วนต้องได้รับความสำคัญก่อน</t>
        </is>
      </c>
      <c r="AE5" s="42" t="inlineStr">
        <is>
          <t>ทำงานอัตโนมัติต่อเนื่อง - ระบบทำงานเอง ไม่มีผู้เรียกใช้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บริษัท ไทยรับเทค จำกัด</t>
        </is>
      </c>
      <c r="B6" s="42" t="inlineStr">
        <is>
          <t>ฐานข้อมูลในระบบ (ERP / MES / SQL) - ดึงข้อมูลอัตโนมัติได้</t>
        </is>
      </c>
      <c r="C6" s="42" t="inlineStr">
        <is>
          <t>1 - 3 ปี - เพียงพอในระดับหนึ่ง</t>
        </is>
      </c>
      <c r="D6" s="42" t="inlineStr">
        <is>
          <t>ไม่สามารถขอได้ หรือยังไม่แน่ใจ - เป็นของลูกค้าหรือผู้ขาย</t>
        </is>
      </c>
      <c r="E6" s="42" t="inlineStr">
        <is>
          <t>จำเป็น - ต้องอ่านและเขียนข้อมูลกับระบบเดิมแบบทันที</t>
        </is>
      </c>
      <c r="F6" s="42" t="inlineStr">
        <is>
          <t>ไม่มี - ต้องพึ่งพาหน่วยงานภายนอกตลอด</t>
        </is>
      </c>
      <c r="G6" s="42" t="inlineStr">
        <is>
          <t>สูง - ของเสียถึงมือลูกค้า เกิดอันตราย หรือผิดข้อกำหนดกฎหมาย</t>
        </is>
      </c>
      <c r="H6" s="42" t="inlineStr">
        <is>
          <t>ตรวจสอบทุกรายการ - บุคลากรต้องตรวจซ้ำทั้งหมด</t>
        </is>
      </c>
      <c r="I6" s="42" t="inlineStr">
        <is>
          <t>ลับ - ต้องจำกัดสิทธิ์การเข้าถึง</t>
        </is>
      </c>
      <c r="J6" s="42" t="inlineStr">
        <is>
          <t>ต่ำ - ดำเนินการได้ภายหลัง</t>
        </is>
      </c>
      <c r="K6" s="42" t="inlineStr">
        <is>
          <t>เสียง</t>
        </is>
      </c>
      <c r="L6" s="42" t="inlineStr">
        <is>
          <t>ไทยและอังกฤษ</t>
        </is>
      </c>
      <c r="M6" s="42" t="inlineStr">
        <is>
          <t>ภายในไม่กี่นาที</t>
        </is>
      </c>
      <c r="N6" s="42" t="inlineStr">
        <is>
          <t>ตลอด 24 ชั่วโมง ทุกวัน</t>
        </is>
      </c>
      <c r="O6" s="42" t="inlineStr">
        <is>
          <t>1 - 5 ล้านพิกเซล</t>
        </is>
      </c>
      <c r="P6" s="42" t="inlineStr">
        <is>
          <t>ผสม</t>
        </is>
      </c>
      <c r="Q6" s="42" t="inlineStr">
        <is>
          <t>จำเป็น - ต้อง Fine-tune ด้วยข้อมูลหรือภาพขององค์กร</t>
        </is>
      </c>
      <c r="R6" s="42" t="inlineStr">
        <is>
          <t>10 - 20 ชั่วโมง/สัปดาห์ (ประมาณ 2 วันทำงาน)</t>
        </is>
      </c>
      <c r="S6" s="42" t="inlineStr">
        <is>
          <t>100,000 - 500,000 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รายการ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ยังไม่สามารถระบุได้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กระทบมาก - ไม่สามารถล่าช้าหรือหยุดได้ (อยู่ในสายการผลิต)</t>
        </is>
      </c>
      <c r="AE6" s="42" t="inlineStr">
        <is>
          <t>ประมวลผลตามรอบเวลา - เช่น ทุกคืน หรือทุกสัปดาห์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บริษัท โพลีเมท จำกัด</t>
        </is>
      </c>
      <c r="B7" s="42" t="inlineStr">
        <is>
          <t>ภาพถ่าย / ไฟล์รูปภาพ</t>
        </is>
      </c>
      <c r="C7" s="42" t="inlineStr">
        <is>
          <t>มากกว่า 3 ปี - เพียงพอ</t>
        </is>
      </c>
      <c r="E7" s="42" t="inlineStr">
        <is>
          <t>ยังไม่สามารถระบุได้ - ต้องหารือกับฝ่าย IT</t>
        </is>
      </c>
      <c r="I7" s="42" t="inlineStr">
        <is>
          <t>ลับที่สุด - มีข้อมูลส่วนบุคคล อยู่ภายใต้ PDPA</t>
        </is>
      </c>
      <c r="K7" s="42" t="inlineStr">
        <is>
          <t>วิดีโอ</t>
        </is>
      </c>
      <c r="L7" s="42" t="inlineStr">
        <is>
          <t>ไม่เกี่ยวข้องกับภาษา</t>
        </is>
      </c>
      <c r="M7" s="42" t="inlineStr">
        <is>
          <t>ภายใน 1 ชั่วโมง หรือภายในรอบกะ</t>
        </is>
      </c>
      <c r="O7" s="42" t="inlineStr">
        <is>
          <t>5 - 12 ล้านพิกเซล</t>
        </is>
      </c>
      <c r="Q7" s="42" t="inlineStr">
        <is>
          <t>ยังไม่สามารถระบุได้</t>
        </is>
      </c>
      <c r="R7" s="42" t="inlineStr">
        <is>
          <t>20 - 40 ชั่วโมง/สัปดาห์ (เทียบเท่าบุคลากร 1 คนเต็มเวลา)</t>
        </is>
      </c>
      <c r="S7" s="42" t="inlineStr">
        <is>
          <t>500,000 - 2,000,000 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10,000 - 100,000 รายการ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จัดเก็บถาวร - ห้ามลบ ตามข้อกำหนดลูกค้าหรือกฎหมาย</t>
        </is>
      </c>
      <c r="AC7" s="42" t="inlineStr">
        <is>
          <t>ทุกไตรมาส</t>
        </is>
      </c>
      <c r="AD7" s="42" t="inlineStr">
        <is>
          <t>ยังไม่สามารถระบุได้</t>
        </is>
      </c>
      <c r="AE7" s="42" t="inlineStr">
        <is>
          <t>ทำงานเมื่อเกิดเหตุการณ์ - เช่น มีใบ NC เข้าสู่ระบบ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บริษัท จีทีเค สมาร์ท โซลูชั่น จำกัด</t>
        </is>
      </c>
      <c r="B8" s="42" t="inlineStr">
        <is>
          <t>ไฟล์เสียง / วิดีโอ</t>
        </is>
      </c>
      <c r="K8" s="42" t="inlineStr">
        <is>
          <t>ตัวเลข / ตาราง</t>
        </is>
      </c>
      <c r="M8" s="42" t="inlineStr">
        <is>
          <t>ภายในรอบวัน - ประมวลผลกลางคืน เสร็จก่อนเริ่มงานเช้า</t>
        </is>
      </c>
      <c r="O8" s="42" t="inlineStr">
        <is>
          <t>มากกว่า 12 ล้านพิกเซล</t>
        </is>
      </c>
      <c r="R8" s="42" t="inlineStr">
        <is>
          <t>มากกว่า 40 ชั่วโมง/สัปดาห์ (มากกว่า 1 คนเต็มเวลา)</t>
        </is>
      </c>
      <c r="S8" s="42" t="inlineStr">
        <is>
          <t>มากกว่า 2,000,000 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V8" s="42" t="inlineStr">
        <is>
          <t>มากกว่า 100,000 รายการ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ทุกเดือนหรือถี่กว่านั้น</t>
        </is>
      </c>
    </row>
    <row r="9">
      <c r="A9" s="42" t="inlineStr">
        <is>
          <t>อื่นๆ</t>
        </is>
      </c>
      <c r="B9" s="42" t="inlineStr">
        <is>
          <t>ยังไม่มีการจัดเก็บ - ต้องเริ่มเก็บใหม่</t>
        </is>
      </c>
      <c r="K9" s="42" t="inlineStr">
        <is>
          <t>ผสมหลายประเภท</t>
        </is>
      </c>
      <c r="AC9" s="42" t="inlineStr">
        <is>
          <t>ยังไม่สามารถระบุได้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รูปแบบการจัดเก็บข้อมูลปัจจุบัน</t>
        </is>
      </c>
      <c r="C29" s="40" t="inlineStr">
        <is>
          <t>ระยะเวลาข้อมูลย้อนหลังที่มี</t>
        </is>
      </c>
      <c r="D29" s="40" t="inlineStr">
        <is>
          <t>สิทธิ์ในการนำข้อมูลมาใช้</t>
        </is>
      </c>
      <c r="E29" s="40" t="inlineStr">
        <is>
          <t>การเชื่อมต่อกับระบบเดิม</t>
        </is>
      </c>
      <c r="F29" s="40" t="inlineStr">
        <is>
          <t>ผู้ดูแลระบบหลังส่งมอบ</t>
        </is>
      </c>
      <c r="G29" s="40" t="inlineStr">
        <is>
          <t>ผลกระทบเมื่อ AI ผิดพลาด</t>
        </is>
      </c>
      <c r="H29" s="40" t="inlineStr">
        <is>
          <t>การตรวจสอบผลลัพธ์โดยบุคลากร</t>
        </is>
      </c>
      <c r="I29" s="40" t="inlineStr">
        <is>
          <t>ระดับชั้นความลับของข้อมูล</t>
        </is>
      </c>
      <c r="J29" s="40" t="inlineStr">
        <is>
          <t>ระดับความสำคัญตามความเห็นผู้ใช้</t>
        </is>
      </c>
      <c r="K29" s="40" t="inlineStr">
        <is>
          <t>ประเภทข้อมูลนำเข้า</t>
        </is>
      </c>
      <c r="L29" s="40" t="inlineStr">
        <is>
          <t>ภาษาที่ต้องรองรับ</t>
        </is>
      </c>
      <c r="M29" s="40" t="inlineStr">
        <is>
          <t>เวลาตอบสนองที่ยอมรับได้</t>
        </is>
      </c>
      <c r="N29" s="40" t="inlineStr">
        <is>
          <t>ช่วงเวลาที่ต้องให้บริการ</t>
        </is>
      </c>
      <c r="O29" s="40" t="inlineStr">
        <is>
          <t>ความละเอียดของภาพ</t>
        </is>
      </c>
      <c r="P29" s="40" t="inlineStr">
        <is>
          <t>ที่ตั้งระบบ</t>
        </is>
      </c>
      <c r="Q29" s="40" t="inlineStr">
        <is>
          <t>การปรับโมเดลด้วยข้อมูลองค์กร</t>
        </is>
      </c>
      <c r="R29" s="40" t="inlineStr">
        <is>
          <t>เวลาที่ใช้กับงานนี้ในปัจจุบัน</t>
        </is>
      </c>
      <c r="S29" s="40" t="inlineStr">
        <is>
          <t>มูลค่าความสูญเสียต่อปี</t>
        </is>
      </c>
      <c r="T29" s="40" t="inlineStr">
        <is>
          <t>จำนวนผู้ใช้งานต่อวัน</t>
        </is>
      </c>
      <c r="U29" s="40" t="inlineStr">
        <is>
          <t>ผู้ใช้งานพร้อมกันสูงสุด</t>
        </is>
      </c>
      <c r="V29" s="40" t="inlineStr">
        <is>
          <t>ปริมาณรายการที่ประมวลผลต่อวัน</t>
        </is>
      </c>
      <c r="W29" s="40" t="inlineStr">
        <is>
          <t>ปริมาณข้อมูลนำเข้าต่อวัน</t>
        </is>
      </c>
      <c r="X29" s="40" t="inlineStr">
        <is>
          <t>ขนาดคลังเอกสารทั้งหมด</t>
        </is>
      </c>
      <c r="Y29" s="40" t="inlineStr">
        <is>
          <t>จุดตรวจที่ทำงานพร้อมกัน</t>
        </is>
      </c>
      <c r="Z29" s="40" t="inlineStr">
        <is>
          <t>รูปแบบการติดตั้ง</t>
        </is>
      </c>
      <c r="AB29" s="40" t="inlineStr">
        <is>
          <t>ระยะเวลาการจัดเก็บข้อมูล</t>
        </is>
      </c>
      <c r="AC29" s="40" t="inlineStr">
        <is>
          <t>ความถี่ในการฝึกโมเดลใหม่</t>
        </is>
      </c>
      <c r="AD29" s="40" t="inlineStr">
        <is>
          <t>ผลกระทบเมื่อระบบตอบสนองช้าลง</t>
        </is>
      </c>
      <c r="AE29" s="40" t="inlineStr">
        <is>
          <t>ลักษณะการเริ่มทำงานของระบบ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  <c r="AE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  <c r="AE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  <c r="AE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M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  <c r="AE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M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V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A35" s="45" t="inlineStr">
        <is>
          <t>-</t>
        </is>
      </c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2026-09-23T04:46:07Z</dcterms:created>
  <dcterms:modified xmlns:dcterms="http://purl.org/dc/terms/" xmlns:xsi="http://www.w3.org/2001/XMLSchema-instance" xsi:type="dcterms:W3CDTF">2026-09-23T04:46:07Z</dcterms:modified>
</cp:coreProperties>
</file>