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00006100"/>
        <sz val="9"/>
      </font>
      <fill>
        <patternFill patternType="solid">
          <fgColor rgb="00C6EFCE"/>
        </patternFill>
      </fill>
    </dxf>
    <dxf>
      <font>
        <name val="Tahoma"/>
        <b val="1"/>
        <color rgb="009C5700"/>
        <sz val="9"/>
      </font>
      <fill>
        <patternFill patternType="solid">
          <fgColor rgb="00FFEB9C"/>
        </patternFill>
      </fill>
    </dxf>
    <dxf>
      <font>
        <name val="Tahoma"/>
        <color rgb="00808080"/>
        <sz val="9"/>
      </font>
      <fill>
        <patternFill patternType="solid">
          <fgColor rgb="00F2F2F2"/>
        </patternFill>
      </fill>
    </dxf>
    <dxf>
      <font>
        <name val="Tahoma"/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34" customWidth="1" min="12" max="12"/>
    <col width="28" customWidth="1" min="13" max="13"/>
    <col width="38" customWidth="1" min="14" max="14"/>
    <col width="34" customWidth="1" min="15" max="15"/>
    <col width="40" customWidth="1" min="16" max="16"/>
    <col width="34" customWidth="1" min="17" max="17"/>
    <col width="36" customWidth="1" min="18" max="18"/>
    <col width="34" customWidth="1" min="19" max="19"/>
    <col width="34" customWidth="1" min="20" max="20"/>
    <col width="26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ตอนนี้ข้อมูลเก็บอยู่ในรูปแบบไหน</t>
        </is>
      </c>
      <c r="M5" s="19" t="inlineStr">
        <is>
          <t>มีข้อมูลย้อนหลังนานแค่ไหน</t>
        </is>
      </c>
      <c r="N5" s="19" t="inlineStr">
        <is>
          <t>ปริมาณข้อมูลโดยประมาณ
นับเป็นรายการ : รูป / ใบ / ไฟล์ / ครั้ง / ล็อต แล้วแต่งาน
(เอาเฉพาะที่รู้คำตอบแล้ว)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ต้องเชื่อมต่อกับระบบไอทีเดิมมั้ย
(ERP / MES / ระบบที่ใช้อยู่)</t>
        </is>
      </c>
      <c r="Q5" s="19" t="inlineStr">
        <is>
          <t>มีคนดูแลระบบต่อหลังส่งมอบมั้ย</t>
        </is>
      </c>
      <c r="R5" s="19" t="inlineStr">
        <is>
          <t>ถ้า AI ตอบผิด จะเกิดอะไรขึ้น</t>
        </is>
      </c>
      <c r="S5" s="19" t="inlineStr">
        <is>
          <t>ต้องให้คนตรวจงานที่ AI ทำซ้ำมั้ย</t>
        </is>
      </c>
      <c r="T5" s="19" t="inlineStr">
        <is>
          <t>ข้อมูลชุดนี้ลับแค่ไหน</t>
        </is>
      </c>
      <c r="U5" s="19" t="inlineStr">
        <is>
          <t>ความสำคัญที่แผนกอยากได้
(ความเห็นแผนก ไม่นำไปคิดคะแนน)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 - พอใช้ได้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AI ทำงานแยกเดี่ยวได้เลย ไม่ต้องยุ่งกับระบบไหน</t>
        </is>
      </c>
      <c r="Q6" s="20" t="inlineStr">
        <is>
          <t>มี - มีคนในแผนกรับดูแลต่อได้ (ระบุชื่อในหมายเหตุ)</t>
        </is>
      </c>
      <c r="R6" s="20" t="inlineStr">
        <is>
          <t>สูง - ของเสียหลุดถึงลูกค้า / อันตราย / ผิดกฎหมาย</t>
        </is>
      </c>
      <c r="S6" s="20" t="inlineStr">
        <is>
          <t>สุ่มตรวจบางส่วน - ตรวจเฉพาะที่ AI ไม่มั่นใจ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7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อนนี้ข้อมูลเก็บอยู่ในรูปแบบไหน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ข้อมูลย้อนหลังนานแค่ไหน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ชื่อมต่อกับระบบไอทีเดิมมั้ย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ระบบต่อหลังส่งมอบมั้ย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 AI ตอบผิด จะเกิดอะไรขึ้น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ให้คนตรวจงานที่ AI ทำซ้ำมั้ย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ชุดนี้ลับแค่ไหน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  <dataValidation sqref="F7:F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G7:G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H7:H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K7:K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N7:N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6" customWidth="1" min="4" max="4"/>
    <col width="20" customWidth="1" min="5" max="5"/>
    <col width="24" customWidth="1" min="6" max="6"/>
    <col width="22" customWidth="1" min="7" max="7"/>
    <col width="26" customWidth="1" min="8" max="8"/>
    <col width="18" customWidth="1" min="9" max="9"/>
    <col width="26" customWidth="1" min="10" max="10"/>
    <col width="26" customWidth="1" min="11" max="11"/>
    <col width="44" customWidth="1" min="12" max="12"/>
    <col width="34" customWidth="1" min="13" max="13"/>
    <col width="18" customWidth="1" min="14" max="14"/>
    <col width="30" customWidth="1" min="15" max="15"/>
    <col width="18" customWidth="1" min="16" max="16"/>
    <col width="20" customWidth="1" min="17" max="17"/>
    <col width="30" customWidth="1" min="18" max="18"/>
    <col width="18" customWidth="1" min="19" max="19"/>
    <col width="42" customWidth="1" min="20" max="20"/>
    <col width="42" customWidth="1" min="21" max="21"/>
    <col width="34" customWidth="1" min="22" max="22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ตั้งในบริษัทที่เดียว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โซน A : ปริมาณงาน  (แผนกกรอก)</t>
        </is>
      </c>
      <c r="E4" s="10" t="n"/>
      <c r="F4" s="10" t="n"/>
      <c r="G4" s="10" t="n"/>
      <c r="H4" s="10" t="n"/>
      <c r="I4" s="13" t="inlineStr">
        <is>
          <t>โซน A : ความต้องการใช้งาน  (แผนกกรอก)</t>
        </is>
      </c>
      <c r="J4" s="14" t="n"/>
      <c r="K4" s="14" t="n"/>
      <c r="L4" s="14" t="n"/>
      <c r="M4" s="17" t="inlineStr">
        <is>
          <t>โซน A : ข้อกำหนดและงบ  (แผนกกรอก)</t>
        </is>
      </c>
      <c r="N4" s="18" t="n"/>
      <c r="O4" s="18" t="n"/>
      <c r="P4" s="18" t="n"/>
      <c r="Q4" s="22" t="inlineStr">
        <is>
          <t>โซน B : ทีม AI / IT เติมให้ทีหลัง — แผนกไม่ต้องกรอก</t>
        </is>
      </c>
      <c r="R4" s="23" t="n"/>
      <c r="S4" s="23" t="n"/>
      <c r="T4" s="23" t="n"/>
      <c r="U4" s="23" t="n"/>
      <c r="V4" s="23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ข้อมูลที่ AI ต้องอ่าน/ดู เป็นแบบไหน</t>
        </is>
      </c>
      <c r="E5" s="19" t="inlineStr">
        <is>
          <t>จำนวนคนที่ใช้งาน/วัน</t>
        </is>
      </c>
      <c r="F5" s="19" t="inlineStr">
        <is>
          <t>ช่วงพีค มีคนใช้พร้อมกันมากสุดกี่คน</t>
        </is>
      </c>
      <c r="G5" s="19" t="inlineStr">
        <is>
          <t>ใช้งานกี่ครั้ง/วัน</t>
        </is>
      </c>
      <c r="H5" s="19" t="inlineStr">
        <is>
          <t>จำนวนกล้อง/จุดตรวจ
ที่ทำงานพร้อมกัน (งานภาพ)</t>
        </is>
      </c>
      <c r="I5" s="19" t="inlineStr">
        <is>
          <t>ภาษาที่ต้องการ</t>
        </is>
      </c>
      <c r="J5" s="19" t="inlineStr">
        <is>
          <t>รอผลได้นานแค่ไหน</t>
        </is>
      </c>
      <c r="K5" s="19" t="inlineStr">
        <is>
          <t>ต้องใช้งานช่วงเวลาไหน</t>
        </is>
      </c>
      <c r="L5" s="19" t="inlineStr">
        <is>
          <t>ถ้าช่วงไหนคนใช้เยอะ แล้วงานนี้ช้าลง
จะเป็นปัญหามั้ย</t>
        </is>
      </c>
      <c r="M5" s="19" t="inlineStr">
        <is>
          <t>ต้องเก็บข้อมูลย้อนหลังกี่ปี</t>
        </is>
      </c>
      <c r="N5" s="19" t="inlineStr">
        <is>
          <t>งบประมาณที่ตั้งไว้ (บาท)
- ถ้ามี</t>
        </is>
      </c>
      <c r="O5" s="19" t="inlineStr">
        <is>
          <t>ข้อจำกัดอื่นๆ / หมายเหตุ</t>
        </is>
      </c>
      <c r="P5" s="19" t="inlineStr">
        <is>
          <t>ผู้ให้ข้อมูล (แผนก)</t>
        </is>
      </c>
      <c r="Q5" s="19" t="inlineStr">
        <is>
          <t>ขนาดข้อมูล Input/วัน</t>
        </is>
      </c>
      <c r="R5" s="19" t="inlineStr">
        <is>
          <t>ขนาดคลังเอกสารทั้งหมด
(สำหรับงานค้นหา/RAG)</t>
        </is>
      </c>
      <c r="S5" s="19" t="inlineStr">
        <is>
          <t>ความละเอียดรูป</t>
        </is>
      </c>
      <c r="T5" s="19" t="inlineStr">
        <is>
          <t>ติดตั้งแบบไหน
(server ตั้งที่เดียว ไม่ใช้ Cloud)</t>
        </is>
      </c>
      <c r="U5" s="19" t="inlineStr">
        <is>
          <t>ต้องสอนโมเดลด้วยข้อมูลบริษัทมั้ย</t>
        </is>
      </c>
      <c r="V5" s="19" t="inlineStr">
        <is>
          <t>ต้องเทรนโมเดลใหม่บ่อยแค่ไหน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inlineStr">
        <is>
          <t>1 - 10 คน</t>
        </is>
      </c>
      <c r="F6" s="20" t="inlineStr">
        <is>
          <t>1 - 2 คน</t>
        </is>
      </c>
      <c r="G6" s="20" t="inlineStr">
        <is>
          <t>100 - 1,000 ครั้ง</t>
        </is>
      </c>
      <c r="H6" s="20" t="inlineStr">
        <is>
          <t>2 - 3 จุด</t>
        </is>
      </c>
      <c r="I6" s="20" t="inlineStr">
        <is>
          <t>ไม่เกี่ยวกับภาษา</t>
        </is>
      </c>
      <c r="J6" s="20" t="inlineStr">
        <is>
          <t>Real-time (0 - 2 วินาที)</t>
        </is>
      </c>
      <c r="K6" s="20" t="inlineStr">
        <is>
          <t>Business Hour (8:00 - 18:00)</t>
        </is>
      </c>
      <c r="L6" s="20" t="inlineStr">
        <is>
          <t>เป็นปัญหา - งานนี้ช้าหรือหยุดไม่ได้เลย (อยู่ในสายการผลิต)</t>
        </is>
      </c>
      <c r="M6" s="20" t="inlineStr">
        <is>
          <t>2 - 3 ปี</t>
        </is>
      </c>
      <c r="N6" s="20" t="n">
        <v>500000</v>
      </c>
      <c r="O6" s="20" t="inlineStr">
        <is>
          <t>ต้องติดกล้องที่สายพานเดิม มีพื้นที่จำกัด</t>
        </is>
      </c>
      <c r="P6" s="20" t="inlineStr">
        <is>
          <t>คุณสมชาย</t>
        </is>
      </c>
      <c r="Q6" s="25" t="inlineStr">
        <is>
          <t>1 - 10 GB</t>
        </is>
      </c>
      <c r="R6" s="25" t="inlineStr">
        <is>
          <t>ไม่เกี่ยวข้อง - ไม่ใช่งานค้นหาเอกสาร</t>
        </is>
      </c>
      <c r="S6" s="25" t="inlineStr">
        <is>
          <t>1 - 5 MP</t>
        </is>
      </c>
      <c r="T6" s="25" t="inlineStr">
        <is>
          <t>ต้องมีเครื่องที่หน้างาน - ติดข้างเครื่องจักร/สายพาน</t>
        </is>
      </c>
      <c r="U6" s="25" t="inlineStr">
        <is>
          <t>ต้อง Fine-tune - สอนด้วยข้อมูล/รูปของบริษัทเอง</t>
        </is>
      </c>
      <c r="V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7" t="n"/>
      <c r="R7" s="27" t="n"/>
      <c r="S7" s="27" t="n"/>
      <c r="T7" s="27" t="n"/>
      <c r="U7" s="27" t="n"/>
      <c r="V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7" t="n"/>
      <c r="R8" s="27" t="n"/>
      <c r="S8" s="27" t="n"/>
      <c r="T8" s="27" t="n"/>
      <c r="U8" s="27" t="n"/>
      <c r="V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7" t="n"/>
      <c r="R9" s="27" t="n"/>
      <c r="S9" s="27" t="n"/>
      <c r="T9" s="27" t="n"/>
      <c r="U9" s="27" t="n"/>
      <c r="V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7" t="n"/>
      <c r="R10" s="27" t="n"/>
      <c r="S10" s="27" t="n"/>
      <c r="T10" s="27" t="n"/>
      <c r="U10" s="27" t="n"/>
      <c r="V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7" t="n"/>
      <c r="R11" s="27" t="n"/>
      <c r="S11" s="27" t="n"/>
      <c r="T11" s="27" t="n"/>
      <c r="U11" s="27" t="n"/>
      <c r="V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7" t="n"/>
      <c r="R12" s="27" t="n"/>
      <c r="S12" s="27" t="n"/>
      <c r="T12" s="27" t="n"/>
      <c r="U12" s="27" t="n"/>
      <c r="V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7" t="n"/>
      <c r="R13" s="27" t="n"/>
      <c r="S13" s="27" t="n"/>
      <c r="T13" s="27" t="n"/>
      <c r="U13" s="27" t="n"/>
      <c r="V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7" t="n"/>
      <c r="R14" s="27" t="n"/>
      <c r="S14" s="27" t="n"/>
      <c r="T14" s="27" t="n"/>
      <c r="U14" s="27" t="n"/>
      <c r="V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7" t="n"/>
      <c r="R15" s="27" t="n"/>
      <c r="S15" s="27" t="n"/>
      <c r="T15" s="27" t="n"/>
      <c r="U15" s="27" t="n"/>
      <c r="V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7" t="n"/>
      <c r="R16" s="27" t="n"/>
      <c r="S16" s="27" t="n"/>
      <c r="T16" s="27" t="n"/>
      <c r="U16" s="27" t="n"/>
      <c r="V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7" t="n"/>
      <c r="R17" s="27" t="n"/>
      <c r="S17" s="27" t="n"/>
      <c r="T17" s="27" t="n"/>
      <c r="U17" s="27" t="n"/>
      <c r="V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7" t="n"/>
      <c r="R18" s="27" t="n"/>
      <c r="S18" s="27" t="n"/>
      <c r="T18" s="27" t="n"/>
      <c r="U18" s="27" t="n"/>
      <c r="V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7" t="n"/>
      <c r="R19" s="27" t="n"/>
      <c r="S19" s="27" t="n"/>
      <c r="T19" s="27" t="n"/>
      <c r="U19" s="27" t="n"/>
      <c r="V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7" t="n"/>
      <c r="R20" s="27" t="n"/>
      <c r="S20" s="27" t="n"/>
      <c r="T20" s="27" t="n"/>
      <c r="U20" s="27" t="n"/>
      <c r="V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7" t="n"/>
      <c r="R21" s="27" t="n"/>
      <c r="S21" s="27" t="n"/>
      <c r="T21" s="27" t="n"/>
      <c r="U21" s="27" t="n"/>
      <c r="V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7" t="n"/>
      <c r="R22" s="27" t="n"/>
      <c r="S22" s="27" t="n"/>
      <c r="T22" s="27" t="n"/>
      <c r="U22" s="27" t="n"/>
      <c r="V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7" t="n"/>
      <c r="R23" s="27" t="n"/>
      <c r="S23" s="27" t="n"/>
      <c r="T23" s="27" t="n"/>
      <c r="U23" s="27" t="n"/>
      <c r="V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7" t="n"/>
      <c r="R24" s="27" t="n"/>
      <c r="S24" s="27" t="n"/>
      <c r="T24" s="27" t="n"/>
      <c r="U24" s="27" t="n"/>
      <c r="V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7" t="n"/>
      <c r="R25" s="27" t="n"/>
      <c r="S25" s="27" t="n"/>
      <c r="T25" s="27" t="n"/>
      <c r="U25" s="27" t="n"/>
      <c r="V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7" t="n"/>
      <c r="R26" s="27" t="n"/>
      <c r="S26" s="27" t="n"/>
      <c r="T26" s="27" t="n"/>
      <c r="U26" s="27" t="n"/>
      <c r="V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7" t="n"/>
      <c r="R27" s="27" t="n"/>
      <c r="S27" s="27" t="n"/>
      <c r="T27" s="27" t="n"/>
      <c r="U27" s="27" t="n"/>
      <c r="V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7" t="n"/>
      <c r="R28" s="27" t="n"/>
      <c r="S28" s="27" t="n"/>
      <c r="T28" s="27" t="n"/>
      <c r="U28" s="27" t="n"/>
      <c r="V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7" t="n"/>
      <c r="R29" s="27" t="n"/>
      <c r="S29" s="27" t="n"/>
      <c r="T29" s="27" t="n"/>
      <c r="U29" s="27" t="n"/>
      <c r="V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7" t="n"/>
      <c r="R30" s="27" t="n"/>
      <c r="S30" s="27" t="n"/>
      <c r="T30" s="27" t="n"/>
      <c r="U30" s="27" t="n"/>
      <c r="V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7" t="n"/>
      <c r="R31" s="27" t="n"/>
      <c r="S31" s="27" t="n"/>
      <c r="T31" s="27" t="n"/>
      <c r="U31" s="27" t="n"/>
      <c r="V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7" t="n"/>
      <c r="R32" s="27" t="n"/>
      <c r="S32" s="27" t="n"/>
      <c r="T32" s="27" t="n"/>
      <c r="U32" s="27" t="n"/>
      <c r="V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7" t="n"/>
      <c r="R33" s="27" t="n"/>
      <c r="S33" s="27" t="n"/>
      <c r="T33" s="27" t="n"/>
      <c r="U33" s="27" t="n"/>
      <c r="V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7" t="n"/>
      <c r="R34" s="27" t="n"/>
      <c r="S34" s="27" t="n"/>
      <c r="T34" s="27" t="n"/>
      <c r="U34" s="27" t="n"/>
      <c r="V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7" t="n"/>
      <c r="R35" s="27" t="n"/>
      <c r="S35" s="27" t="n"/>
      <c r="T35" s="27" t="n"/>
      <c r="U35" s="27" t="n"/>
      <c r="V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7" t="n"/>
      <c r="R36" s="27" t="n"/>
      <c r="S36" s="27" t="n"/>
      <c r="T36" s="27" t="n"/>
      <c r="U36" s="27" t="n"/>
      <c r="V36" s="27" t="n"/>
    </row>
  </sheetData>
  <mergeCells count="7">
    <mergeCell ref="A2:V2"/>
    <mergeCell ref="M4:P4"/>
    <mergeCell ref="A1:V1"/>
    <mergeCell ref="I4:L4"/>
    <mergeCell ref="Q4:V4"/>
    <mergeCell ref="D4:H4"/>
    <mergeCell ref="A4:C4"/>
  </mergeCells>
  <dataValidations count="16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เลือกจากรายการ — กดลูกศรด้านขวาของช่อง" type="list">
      <formula1>DATA!$T$4:$T$8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พร้อมกัน)" prompt="เลือกจากรายการ — กดลูกศรด้านขวาของช่อง" type="list">
      <formula1>DATA!$U$4:$U$8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Requests/วัน" prompt="เลือกจากรายการ — กดลูกศรด้านขวาของช่อง" type="list">
      <formula1>DATA!$V$4:$V$7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กล้อง/จุดตรวจพร้อมกัน" prompt="เลือกจากรายการ — กดลูกศรด้านขวาของช่อง" type="list">
      <formula1>DATA!$Y$4:$Y$8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ถ้างานนี้ช้าลงจะเป็นปัญหามั้ย" prompt="เลือกจากรายการ — กดลูกศรด้านขวาของช่อง" type="list">
      <formula1>DATA!$AD$4:$AD$7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ก็บข้อมูลย้อนหลังกี่ปี" prompt="เลือกจากรายการ — กดลูกศรด้านขวาของช่อง" type="list">
      <formula1>DATA!$AB$4:$AB$7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ิดตั้งแบบไหน" prompt="เลือกจากรายการ — กดลูกศรด้านขวาของช่อง" type="list">
      <formula1>DATA!$Z$4:$Z$6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สอนโมเดลด้วยข้อมูลบริษัทมั้ย" prompt="เลือกจากรายการ — กดลูกศรด้านขวาของช่อง" type="list">
      <formula1>DATA!$Q$4:$Q$7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เทรนโมเดลใหม่บ่อยแค่ไหน" prompt="เลือกจากรายการ — กดลูกศรด้านขวาของช่อง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ทั้งหมด'!I6,DATA!$R$4:$R$8,0)),""))</f>
        <v/>
      </c>
      <c r="E6" s="31">
        <f>IF('1-UseCase ทั้งหมด'!B6="","",IFERROR(INDEX(DATA!$S$30:$S$34,MATCH('1-UseCase ทั้งหมด'!J6,DATA!$S$4:$S$8,0)),""))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ทั้งหมด'!L6,DATA!$B$4:$B$9,0)),""))</f>
        <v/>
      </c>
      <c r="H6" s="31">
        <f>IF('1-UseCase ทั้งหมด'!B6="","",IFERROR(INDEX(DATA!$C$30:$C$33,MATCH('1-UseCase ทั้งหมด'!M6,DATA!$C$4:$C$7,0)),""))</f>
        <v/>
      </c>
      <c r="I6" s="31">
        <f>IF('1-UseCase ทั้งหมด'!B6="","",IFERROR(INDEX(DATA!$D$30:$D$32,MATCH('1-UseCase ทั้งหมด'!O6,DATA!$D$4:$D$6,0)),""))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ทั้งหมด'!P6,DATA!$E$4:$E$7,0)),""))</f>
        <v/>
      </c>
      <c r="L6" s="31">
        <f>IF('1-UseCase ทั้งหมด'!B6="","",IFERROR(INDEX(DATA!$F$30:$F$32,MATCH('1-UseCase ทั้งหมด'!Q6,DATA!$F$4:$F$6,0)),""))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ทั้งหมด'!R6,DATA!$G$4:$G$6,0)),""))</f>
        <v/>
      </c>
      <c r="O6" s="31">
        <f>IF('1-UseCase ทั้งหมด'!B6="","",IFERROR(INDEX(DATA!$H$30:$H$32,MATCH('1-UseCase ทั้งหมด'!S6,DATA!$H$4:$H$6,0)),""))</f>
        <v/>
      </c>
      <c r="P6" s="31">
        <f>IF('1-UseCase ทั้งหมด'!B6="","",IFERROR(INDEX(DATA!$I$30:$I$33,MATCH('1-UseCase ทั้งหมด'!T6,DATA!$I$4:$I$7,0)),""))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ทั้งหมด'!I7,DATA!$R$4:$R$8,0)),""))</f>
        <v/>
      </c>
      <c r="E7" s="34">
        <f>IF('1-UseCase ทั้งหมด'!B7="","",IFERROR(INDEX(DATA!$S$30:$S$34,MATCH('1-UseCase ทั้งหมด'!J7,DATA!$S$4:$S$8,0)),""))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ทั้งหมด'!L7,DATA!$B$4:$B$9,0)),""))</f>
        <v/>
      </c>
      <c r="H7" s="34">
        <f>IF('1-UseCase ทั้งหมด'!B7="","",IFERROR(INDEX(DATA!$C$30:$C$33,MATCH('1-UseCase ทั้งหมด'!M7,DATA!$C$4:$C$7,0)),""))</f>
        <v/>
      </c>
      <c r="I7" s="34">
        <f>IF('1-UseCase ทั้งหมด'!B7="","",IFERROR(INDEX(DATA!$D$30:$D$32,MATCH('1-UseCase ทั้งหมด'!O7,DATA!$D$4:$D$6,0)),""))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ทั้งหมด'!P7,DATA!$E$4:$E$7,0)),""))</f>
        <v/>
      </c>
      <c r="L7" s="34">
        <f>IF('1-UseCase ทั้งหมด'!B7="","",IFERROR(INDEX(DATA!$F$30:$F$32,MATCH('1-UseCase ทั้งหมด'!Q7,DATA!$F$4:$F$6,0)),""))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ทั้งหมด'!R7,DATA!$G$4:$G$6,0)),""))</f>
        <v/>
      </c>
      <c r="O7" s="34">
        <f>IF('1-UseCase ทั้งหมด'!B7="","",IFERROR(INDEX(DATA!$H$30:$H$32,MATCH('1-UseCase ทั้งหมด'!S7,DATA!$H$4:$H$6,0)),""))</f>
        <v/>
      </c>
      <c r="P7" s="34">
        <f>IF('1-UseCase ทั้งหมด'!B7="","",IFERROR(INDEX(DATA!$I$30:$I$33,MATCH('1-UseCase ทั้งหมด'!T7,DATA!$I$4:$I$7,0)),""))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ทั้งหมด'!I8,DATA!$R$4:$R$8,0)),""))</f>
        <v/>
      </c>
      <c r="E8" s="34">
        <f>IF('1-UseCase ทั้งหมด'!B8="","",IFERROR(INDEX(DATA!$S$30:$S$34,MATCH('1-UseCase ทั้งหมด'!J8,DATA!$S$4:$S$8,0)),""))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ทั้งหมด'!L8,DATA!$B$4:$B$9,0)),""))</f>
        <v/>
      </c>
      <c r="H8" s="34">
        <f>IF('1-UseCase ทั้งหมด'!B8="","",IFERROR(INDEX(DATA!$C$30:$C$33,MATCH('1-UseCase ทั้งหมด'!M8,DATA!$C$4:$C$7,0)),""))</f>
        <v/>
      </c>
      <c r="I8" s="34">
        <f>IF('1-UseCase ทั้งหมด'!B8="","",IFERROR(INDEX(DATA!$D$30:$D$32,MATCH('1-UseCase ทั้งหมด'!O8,DATA!$D$4:$D$6,0)),""))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ทั้งหมด'!P8,DATA!$E$4:$E$7,0)),""))</f>
        <v/>
      </c>
      <c r="L8" s="34">
        <f>IF('1-UseCase ทั้งหมด'!B8="","",IFERROR(INDEX(DATA!$F$30:$F$32,MATCH('1-UseCase ทั้งหมด'!Q8,DATA!$F$4:$F$6,0)),""))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ทั้งหมด'!R8,DATA!$G$4:$G$6,0)),""))</f>
        <v/>
      </c>
      <c r="O8" s="34">
        <f>IF('1-UseCase ทั้งหมด'!B8="","",IFERROR(INDEX(DATA!$H$30:$H$32,MATCH('1-UseCase ทั้งหมด'!S8,DATA!$H$4:$H$6,0)),""))</f>
        <v/>
      </c>
      <c r="P8" s="34">
        <f>IF('1-UseCase ทั้งหมด'!B8="","",IFERROR(INDEX(DATA!$I$30:$I$33,MATCH('1-UseCase ทั้งหมด'!T8,DATA!$I$4:$I$7,0)),""))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ทั้งหมด'!I9,DATA!$R$4:$R$8,0)),""))</f>
        <v/>
      </c>
      <c r="E9" s="34">
        <f>IF('1-UseCase ทั้งหมด'!B9="","",IFERROR(INDEX(DATA!$S$30:$S$34,MATCH('1-UseCase ทั้งหมด'!J9,DATA!$S$4:$S$8,0)),""))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ทั้งหมด'!L9,DATA!$B$4:$B$9,0)),""))</f>
        <v/>
      </c>
      <c r="H9" s="34">
        <f>IF('1-UseCase ทั้งหมด'!B9="","",IFERROR(INDEX(DATA!$C$30:$C$33,MATCH('1-UseCase ทั้งหมด'!M9,DATA!$C$4:$C$7,0)),""))</f>
        <v/>
      </c>
      <c r="I9" s="34">
        <f>IF('1-UseCase ทั้งหมด'!B9="","",IFERROR(INDEX(DATA!$D$30:$D$32,MATCH('1-UseCase ทั้งหมด'!O9,DATA!$D$4:$D$6,0)),""))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ทั้งหมด'!P9,DATA!$E$4:$E$7,0)),""))</f>
        <v/>
      </c>
      <c r="L9" s="34">
        <f>IF('1-UseCase ทั้งหมด'!B9="","",IFERROR(INDEX(DATA!$F$30:$F$32,MATCH('1-UseCase ทั้งหมด'!Q9,DATA!$F$4:$F$6,0)),""))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ทั้งหมด'!R9,DATA!$G$4:$G$6,0)),""))</f>
        <v/>
      </c>
      <c r="O9" s="34">
        <f>IF('1-UseCase ทั้งหมด'!B9="","",IFERROR(INDEX(DATA!$H$30:$H$32,MATCH('1-UseCase ทั้งหมด'!S9,DATA!$H$4:$H$6,0)),""))</f>
        <v/>
      </c>
      <c r="P9" s="34">
        <f>IF('1-UseCase ทั้งหมด'!B9="","",IFERROR(INDEX(DATA!$I$30:$I$33,MATCH('1-UseCase ทั้งหมด'!T9,DATA!$I$4:$I$7,0)),""))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ทั้งหมด'!I10,DATA!$R$4:$R$8,0)),""))</f>
        <v/>
      </c>
      <c r="E10" s="34">
        <f>IF('1-UseCase ทั้งหมด'!B10="","",IFERROR(INDEX(DATA!$S$30:$S$34,MATCH('1-UseCase ทั้งหมด'!J10,DATA!$S$4:$S$8,0)),""))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ทั้งหมด'!L10,DATA!$B$4:$B$9,0)),""))</f>
        <v/>
      </c>
      <c r="H10" s="34">
        <f>IF('1-UseCase ทั้งหมด'!B10="","",IFERROR(INDEX(DATA!$C$30:$C$33,MATCH('1-UseCase ทั้งหมด'!M10,DATA!$C$4:$C$7,0)),""))</f>
        <v/>
      </c>
      <c r="I10" s="34">
        <f>IF('1-UseCase ทั้งหมด'!B10="","",IFERROR(INDEX(DATA!$D$30:$D$32,MATCH('1-UseCase ทั้งหมด'!O10,DATA!$D$4:$D$6,0)),""))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ทั้งหมด'!P10,DATA!$E$4:$E$7,0)),""))</f>
        <v/>
      </c>
      <c r="L10" s="34">
        <f>IF('1-UseCase ทั้งหมด'!B10="","",IFERROR(INDEX(DATA!$F$30:$F$32,MATCH('1-UseCase ทั้งหมด'!Q10,DATA!$F$4:$F$6,0)),""))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ทั้งหมด'!R10,DATA!$G$4:$G$6,0)),""))</f>
        <v/>
      </c>
      <c r="O10" s="34">
        <f>IF('1-UseCase ทั้งหมด'!B10="","",IFERROR(INDEX(DATA!$H$30:$H$32,MATCH('1-UseCase ทั้งหมด'!S10,DATA!$H$4:$H$6,0)),""))</f>
        <v/>
      </c>
      <c r="P10" s="34">
        <f>IF('1-UseCase ทั้งหมด'!B10="","",IFERROR(INDEX(DATA!$I$30:$I$33,MATCH('1-UseCase ทั้งหมด'!T10,DATA!$I$4:$I$7,0)),""))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ทั้งหมด'!I11,DATA!$R$4:$R$8,0)),""))</f>
        <v/>
      </c>
      <c r="E11" s="34">
        <f>IF('1-UseCase ทั้งหมด'!B11="","",IFERROR(INDEX(DATA!$S$30:$S$34,MATCH('1-UseCase ทั้งหมด'!J11,DATA!$S$4:$S$8,0)),""))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ทั้งหมด'!L11,DATA!$B$4:$B$9,0)),""))</f>
        <v/>
      </c>
      <c r="H11" s="34">
        <f>IF('1-UseCase ทั้งหมด'!B11="","",IFERROR(INDEX(DATA!$C$30:$C$33,MATCH('1-UseCase ทั้งหมด'!M11,DATA!$C$4:$C$7,0)),""))</f>
        <v/>
      </c>
      <c r="I11" s="34">
        <f>IF('1-UseCase ทั้งหมด'!B11="","",IFERROR(INDEX(DATA!$D$30:$D$32,MATCH('1-UseCase ทั้งหมด'!O11,DATA!$D$4:$D$6,0)),""))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ทั้งหมด'!P11,DATA!$E$4:$E$7,0)),""))</f>
        <v/>
      </c>
      <c r="L11" s="34">
        <f>IF('1-UseCase ทั้งหมด'!B11="","",IFERROR(INDEX(DATA!$F$30:$F$32,MATCH('1-UseCase ทั้งหมด'!Q11,DATA!$F$4:$F$6,0)),""))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ทั้งหมด'!R11,DATA!$G$4:$G$6,0)),""))</f>
        <v/>
      </c>
      <c r="O11" s="34">
        <f>IF('1-UseCase ทั้งหมด'!B11="","",IFERROR(INDEX(DATA!$H$30:$H$32,MATCH('1-UseCase ทั้งหมด'!S11,DATA!$H$4:$H$6,0)),""))</f>
        <v/>
      </c>
      <c r="P11" s="34">
        <f>IF('1-UseCase ทั้งหมด'!B11="","",IFERROR(INDEX(DATA!$I$30:$I$33,MATCH('1-UseCase ทั้งหมด'!T11,DATA!$I$4:$I$7,0)),""))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ทั้งหมด'!I12,DATA!$R$4:$R$8,0)),""))</f>
        <v/>
      </c>
      <c r="E12" s="34">
        <f>IF('1-UseCase ทั้งหมด'!B12="","",IFERROR(INDEX(DATA!$S$30:$S$34,MATCH('1-UseCase ทั้งหมด'!J12,DATA!$S$4:$S$8,0)),""))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ทั้งหมด'!L12,DATA!$B$4:$B$9,0)),""))</f>
        <v/>
      </c>
      <c r="H12" s="34">
        <f>IF('1-UseCase ทั้งหมด'!B12="","",IFERROR(INDEX(DATA!$C$30:$C$33,MATCH('1-UseCase ทั้งหมด'!M12,DATA!$C$4:$C$7,0)),""))</f>
        <v/>
      </c>
      <c r="I12" s="34">
        <f>IF('1-UseCase ทั้งหมด'!B12="","",IFERROR(INDEX(DATA!$D$30:$D$32,MATCH('1-UseCase ทั้งหมด'!O12,DATA!$D$4:$D$6,0)),""))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ทั้งหมด'!P12,DATA!$E$4:$E$7,0)),""))</f>
        <v/>
      </c>
      <c r="L12" s="34">
        <f>IF('1-UseCase ทั้งหมด'!B12="","",IFERROR(INDEX(DATA!$F$30:$F$32,MATCH('1-UseCase ทั้งหมด'!Q12,DATA!$F$4:$F$6,0)),""))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ทั้งหมด'!R12,DATA!$G$4:$G$6,0)),""))</f>
        <v/>
      </c>
      <c r="O12" s="34">
        <f>IF('1-UseCase ทั้งหมด'!B12="","",IFERROR(INDEX(DATA!$H$30:$H$32,MATCH('1-UseCase ทั้งหมด'!S12,DATA!$H$4:$H$6,0)),""))</f>
        <v/>
      </c>
      <c r="P12" s="34">
        <f>IF('1-UseCase ทั้งหมด'!B12="","",IFERROR(INDEX(DATA!$I$30:$I$33,MATCH('1-UseCase ทั้งหมด'!T12,DATA!$I$4:$I$7,0)),""))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ทั้งหมด'!I13,DATA!$R$4:$R$8,0)),""))</f>
        <v/>
      </c>
      <c r="E13" s="34">
        <f>IF('1-UseCase ทั้งหมด'!B13="","",IFERROR(INDEX(DATA!$S$30:$S$34,MATCH('1-UseCase ทั้งหมด'!J13,DATA!$S$4:$S$8,0)),""))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ทั้งหมด'!L13,DATA!$B$4:$B$9,0)),""))</f>
        <v/>
      </c>
      <c r="H13" s="34">
        <f>IF('1-UseCase ทั้งหมด'!B13="","",IFERROR(INDEX(DATA!$C$30:$C$33,MATCH('1-UseCase ทั้งหมด'!M13,DATA!$C$4:$C$7,0)),""))</f>
        <v/>
      </c>
      <c r="I13" s="34">
        <f>IF('1-UseCase ทั้งหมด'!B13="","",IFERROR(INDEX(DATA!$D$30:$D$32,MATCH('1-UseCase ทั้งหมด'!O13,DATA!$D$4:$D$6,0)),""))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ทั้งหมด'!P13,DATA!$E$4:$E$7,0)),""))</f>
        <v/>
      </c>
      <c r="L13" s="34">
        <f>IF('1-UseCase ทั้งหมด'!B13="","",IFERROR(INDEX(DATA!$F$30:$F$32,MATCH('1-UseCase ทั้งหมด'!Q13,DATA!$F$4:$F$6,0)),""))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ทั้งหมด'!R13,DATA!$G$4:$G$6,0)),""))</f>
        <v/>
      </c>
      <c r="O13" s="34">
        <f>IF('1-UseCase ทั้งหมด'!B13="","",IFERROR(INDEX(DATA!$H$30:$H$32,MATCH('1-UseCase ทั้งหมด'!S13,DATA!$H$4:$H$6,0)),""))</f>
        <v/>
      </c>
      <c r="P13" s="34">
        <f>IF('1-UseCase ทั้งหมด'!B13="","",IFERROR(INDEX(DATA!$I$30:$I$33,MATCH('1-UseCase ทั้งหมด'!T13,DATA!$I$4:$I$7,0)),""))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ทั้งหมด'!I14,DATA!$R$4:$R$8,0)),""))</f>
        <v/>
      </c>
      <c r="E14" s="34">
        <f>IF('1-UseCase ทั้งหมด'!B14="","",IFERROR(INDEX(DATA!$S$30:$S$34,MATCH('1-UseCase ทั้งหมด'!J14,DATA!$S$4:$S$8,0)),""))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ทั้งหมด'!L14,DATA!$B$4:$B$9,0)),""))</f>
        <v/>
      </c>
      <c r="H14" s="34">
        <f>IF('1-UseCase ทั้งหมด'!B14="","",IFERROR(INDEX(DATA!$C$30:$C$33,MATCH('1-UseCase ทั้งหมด'!M14,DATA!$C$4:$C$7,0)),""))</f>
        <v/>
      </c>
      <c r="I14" s="34">
        <f>IF('1-UseCase ทั้งหมด'!B14="","",IFERROR(INDEX(DATA!$D$30:$D$32,MATCH('1-UseCase ทั้งหมด'!O14,DATA!$D$4:$D$6,0)),""))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ทั้งหมด'!P14,DATA!$E$4:$E$7,0)),""))</f>
        <v/>
      </c>
      <c r="L14" s="34">
        <f>IF('1-UseCase ทั้งหมด'!B14="","",IFERROR(INDEX(DATA!$F$30:$F$32,MATCH('1-UseCase ทั้งหมด'!Q14,DATA!$F$4:$F$6,0)),""))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ทั้งหมด'!R14,DATA!$G$4:$G$6,0)),""))</f>
        <v/>
      </c>
      <c r="O14" s="34">
        <f>IF('1-UseCase ทั้งหมด'!B14="","",IFERROR(INDEX(DATA!$H$30:$H$32,MATCH('1-UseCase ทั้งหมด'!S14,DATA!$H$4:$H$6,0)),""))</f>
        <v/>
      </c>
      <c r="P14" s="34">
        <f>IF('1-UseCase ทั้งหมด'!B14="","",IFERROR(INDEX(DATA!$I$30:$I$33,MATCH('1-UseCase ทั้งหมด'!T14,DATA!$I$4:$I$7,0)),""))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ทั้งหมด'!I15,DATA!$R$4:$R$8,0)),""))</f>
        <v/>
      </c>
      <c r="E15" s="34">
        <f>IF('1-UseCase ทั้งหมด'!B15="","",IFERROR(INDEX(DATA!$S$30:$S$34,MATCH('1-UseCase ทั้งหมด'!J15,DATA!$S$4:$S$8,0)),""))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ทั้งหมด'!L15,DATA!$B$4:$B$9,0)),""))</f>
        <v/>
      </c>
      <c r="H15" s="34">
        <f>IF('1-UseCase ทั้งหมด'!B15="","",IFERROR(INDEX(DATA!$C$30:$C$33,MATCH('1-UseCase ทั้งหมด'!M15,DATA!$C$4:$C$7,0)),""))</f>
        <v/>
      </c>
      <c r="I15" s="34">
        <f>IF('1-UseCase ทั้งหมด'!B15="","",IFERROR(INDEX(DATA!$D$30:$D$32,MATCH('1-UseCase ทั้งหมด'!O15,DATA!$D$4:$D$6,0)),""))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ทั้งหมด'!P15,DATA!$E$4:$E$7,0)),""))</f>
        <v/>
      </c>
      <c r="L15" s="34">
        <f>IF('1-UseCase ทั้งหมด'!B15="","",IFERROR(INDEX(DATA!$F$30:$F$32,MATCH('1-UseCase ทั้งหมด'!Q15,DATA!$F$4:$F$6,0)),""))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ทั้งหมด'!R15,DATA!$G$4:$G$6,0)),""))</f>
        <v/>
      </c>
      <c r="O15" s="34">
        <f>IF('1-UseCase ทั้งหมด'!B15="","",IFERROR(INDEX(DATA!$H$30:$H$32,MATCH('1-UseCase ทั้งหมด'!S15,DATA!$H$4:$H$6,0)),""))</f>
        <v/>
      </c>
      <c r="P15" s="34">
        <f>IF('1-UseCase ทั้งหมด'!B15="","",IFERROR(INDEX(DATA!$I$30:$I$33,MATCH('1-UseCase ทั้งหมด'!T15,DATA!$I$4:$I$7,0)),""))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ทั้งหมด'!I16,DATA!$R$4:$R$8,0)),""))</f>
        <v/>
      </c>
      <c r="E16" s="34">
        <f>IF('1-UseCase ทั้งหมด'!B16="","",IFERROR(INDEX(DATA!$S$30:$S$34,MATCH('1-UseCase ทั้งหมด'!J16,DATA!$S$4:$S$8,0)),""))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ทั้งหมด'!L16,DATA!$B$4:$B$9,0)),""))</f>
        <v/>
      </c>
      <c r="H16" s="34">
        <f>IF('1-UseCase ทั้งหมด'!B16="","",IFERROR(INDEX(DATA!$C$30:$C$33,MATCH('1-UseCase ทั้งหมด'!M16,DATA!$C$4:$C$7,0)),""))</f>
        <v/>
      </c>
      <c r="I16" s="34">
        <f>IF('1-UseCase ทั้งหมด'!B16="","",IFERROR(INDEX(DATA!$D$30:$D$32,MATCH('1-UseCase ทั้งหมด'!O16,DATA!$D$4:$D$6,0)),""))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ทั้งหมด'!P16,DATA!$E$4:$E$7,0)),""))</f>
        <v/>
      </c>
      <c r="L16" s="34">
        <f>IF('1-UseCase ทั้งหมด'!B16="","",IFERROR(INDEX(DATA!$F$30:$F$32,MATCH('1-UseCase ทั้งหมด'!Q16,DATA!$F$4:$F$6,0)),""))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ทั้งหมด'!R16,DATA!$G$4:$G$6,0)),""))</f>
        <v/>
      </c>
      <c r="O16" s="34">
        <f>IF('1-UseCase ทั้งหมด'!B16="","",IFERROR(INDEX(DATA!$H$30:$H$32,MATCH('1-UseCase ทั้งหมด'!S16,DATA!$H$4:$H$6,0)),""))</f>
        <v/>
      </c>
      <c r="P16" s="34">
        <f>IF('1-UseCase ทั้งหมด'!B16="","",IFERROR(INDEX(DATA!$I$30:$I$33,MATCH('1-UseCase ทั้งหมด'!T16,DATA!$I$4:$I$7,0)),""))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ทั้งหมด'!I17,DATA!$R$4:$R$8,0)),""))</f>
        <v/>
      </c>
      <c r="E17" s="34">
        <f>IF('1-UseCase ทั้งหมด'!B17="","",IFERROR(INDEX(DATA!$S$30:$S$34,MATCH('1-UseCase ทั้งหมด'!J17,DATA!$S$4:$S$8,0)),""))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ทั้งหมด'!L17,DATA!$B$4:$B$9,0)),""))</f>
        <v/>
      </c>
      <c r="H17" s="34">
        <f>IF('1-UseCase ทั้งหมด'!B17="","",IFERROR(INDEX(DATA!$C$30:$C$33,MATCH('1-UseCase ทั้งหมด'!M17,DATA!$C$4:$C$7,0)),""))</f>
        <v/>
      </c>
      <c r="I17" s="34">
        <f>IF('1-UseCase ทั้งหมด'!B17="","",IFERROR(INDEX(DATA!$D$30:$D$32,MATCH('1-UseCase ทั้งหมด'!O17,DATA!$D$4:$D$6,0)),""))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ทั้งหมด'!P17,DATA!$E$4:$E$7,0)),""))</f>
        <v/>
      </c>
      <c r="L17" s="34">
        <f>IF('1-UseCase ทั้งหมด'!B17="","",IFERROR(INDEX(DATA!$F$30:$F$32,MATCH('1-UseCase ทั้งหมด'!Q17,DATA!$F$4:$F$6,0)),""))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ทั้งหมด'!R17,DATA!$G$4:$G$6,0)),""))</f>
        <v/>
      </c>
      <c r="O17" s="34">
        <f>IF('1-UseCase ทั้งหมด'!B17="","",IFERROR(INDEX(DATA!$H$30:$H$32,MATCH('1-UseCase ทั้งหมด'!S17,DATA!$H$4:$H$6,0)),""))</f>
        <v/>
      </c>
      <c r="P17" s="34">
        <f>IF('1-UseCase ทั้งหมด'!B17="","",IFERROR(INDEX(DATA!$I$30:$I$33,MATCH('1-UseCase ทั้งหมด'!T17,DATA!$I$4:$I$7,0)),""))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ทั้งหมด'!I18,DATA!$R$4:$R$8,0)),""))</f>
        <v/>
      </c>
      <c r="E18" s="34">
        <f>IF('1-UseCase ทั้งหมด'!B18="","",IFERROR(INDEX(DATA!$S$30:$S$34,MATCH('1-UseCase ทั้งหมด'!J18,DATA!$S$4:$S$8,0)),""))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ทั้งหมด'!L18,DATA!$B$4:$B$9,0)),""))</f>
        <v/>
      </c>
      <c r="H18" s="34">
        <f>IF('1-UseCase ทั้งหมด'!B18="","",IFERROR(INDEX(DATA!$C$30:$C$33,MATCH('1-UseCase ทั้งหมด'!M18,DATA!$C$4:$C$7,0)),""))</f>
        <v/>
      </c>
      <c r="I18" s="34">
        <f>IF('1-UseCase ทั้งหมด'!B18="","",IFERROR(INDEX(DATA!$D$30:$D$32,MATCH('1-UseCase ทั้งหมด'!O18,DATA!$D$4:$D$6,0)),""))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ทั้งหมด'!P18,DATA!$E$4:$E$7,0)),""))</f>
        <v/>
      </c>
      <c r="L18" s="34">
        <f>IF('1-UseCase ทั้งหมด'!B18="","",IFERROR(INDEX(DATA!$F$30:$F$32,MATCH('1-UseCase ทั้งหมด'!Q18,DATA!$F$4:$F$6,0)),""))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ทั้งหมด'!R18,DATA!$G$4:$G$6,0)),""))</f>
        <v/>
      </c>
      <c r="O18" s="34">
        <f>IF('1-UseCase ทั้งหมด'!B18="","",IFERROR(INDEX(DATA!$H$30:$H$32,MATCH('1-UseCase ทั้งหมด'!S18,DATA!$H$4:$H$6,0)),""))</f>
        <v/>
      </c>
      <c r="P18" s="34">
        <f>IF('1-UseCase ทั้งหมด'!B18="","",IFERROR(INDEX(DATA!$I$30:$I$33,MATCH('1-UseCase ทั้งหมด'!T18,DATA!$I$4:$I$7,0)),""))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ทั้งหมด'!I19,DATA!$R$4:$R$8,0)),""))</f>
        <v/>
      </c>
      <c r="E19" s="34">
        <f>IF('1-UseCase ทั้งหมด'!B19="","",IFERROR(INDEX(DATA!$S$30:$S$34,MATCH('1-UseCase ทั้งหมด'!J19,DATA!$S$4:$S$8,0)),""))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ทั้งหมด'!L19,DATA!$B$4:$B$9,0)),""))</f>
        <v/>
      </c>
      <c r="H19" s="34">
        <f>IF('1-UseCase ทั้งหมด'!B19="","",IFERROR(INDEX(DATA!$C$30:$C$33,MATCH('1-UseCase ทั้งหมด'!M19,DATA!$C$4:$C$7,0)),""))</f>
        <v/>
      </c>
      <c r="I19" s="34">
        <f>IF('1-UseCase ทั้งหมด'!B19="","",IFERROR(INDEX(DATA!$D$30:$D$32,MATCH('1-UseCase ทั้งหมด'!O19,DATA!$D$4:$D$6,0)),""))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ทั้งหมด'!P19,DATA!$E$4:$E$7,0)),""))</f>
        <v/>
      </c>
      <c r="L19" s="34">
        <f>IF('1-UseCase ทั้งหมด'!B19="","",IFERROR(INDEX(DATA!$F$30:$F$32,MATCH('1-UseCase ทั้งหมด'!Q19,DATA!$F$4:$F$6,0)),""))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ทั้งหมด'!R19,DATA!$G$4:$G$6,0)),""))</f>
        <v/>
      </c>
      <c r="O19" s="34">
        <f>IF('1-UseCase ทั้งหมด'!B19="","",IFERROR(INDEX(DATA!$H$30:$H$32,MATCH('1-UseCase ทั้งหมด'!S19,DATA!$H$4:$H$6,0)),""))</f>
        <v/>
      </c>
      <c r="P19" s="34">
        <f>IF('1-UseCase ทั้งหมด'!B19="","",IFERROR(INDEX(DATA!$I$30:$I$33,MATCH('1-UseCase ทั้งหมด'!T19,DATA!$I$4:$I$7,0)),""))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ทั้งหมด'!I20,DATA!$R$4:$R$8,0)),""))</f>
        <v/>
      </c>
      <c r="E20" s="34">
        <f>IF('1-UseCase ทั้งหมด'!B20="","",IFERROR(INDEX(DATA!$S$30:$S$34,MATCH('1-UseCase ทั้งหมด'!J20,DATA!$S$4:$S$8,0)),""))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ทั้งหมด'!L20,DATA!$B$4:$B$9,0)),""))</f>
        <v/>
      </c>
      <c r="H20" s="34">
        <f>IF('1-UseCase ทั้งหมด'!B20="","",IFERROR(INDEX(DATA!$C$30:$C$33,MATCH('1-UseCase ทั้งหมด'!M20,DATA!$C$4:$C$7,0)),""))</f>
        <v/>
      </c>
      <c r="I20" s="34">
        <f>IF('1-UseCase ทั้งหมด'!B20="","",IFERROR(INDEX(DATA!$D$30:$D$32,MATCH('1-UseCase ทั้งหมด'!O20,DATA!$D$4:$D$6,0)),""))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ทั้งหมด'!P20,DATA!$E$4:$E$7,0)),""))</f>
        <v/>
      </c>
      <c r="L20" s="34">
        <f>IF('1-UseCase ทั้งหมด'!B20="","",IFERROR(INDEX(DATA!$F$30:$F$32,MATCH('1-UseCase ทั้งหมด'!Q20,DATA!$F$4:$F$6,0)),""))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ทั้งหมด'!R20,DATA!$G$4:$G$6,0)),""))</f>
        <v/>
      </c>
      <c r="O20" s="34">
        <f>IF('1-UseCase ทั้งหมด'!B20="","",IFERROR(INDEX(DATA!$H$30:$H$32,MATCH('1-UseCase ทั้งหมด'!S20,DATA!$H$4:$H$6,0)),""))</f>
        <v/>
      </c>
      <c r="P20" s="34">
        <f>IF('1-UseCase ทั้งหมด'!B20="","",IFERROR(INDEX(DATA!$I$30:$I$33,MATCH('1-UseCase ทั้งหมด'!T20,DATA!$I$4:$I$7,0)),""))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ทั้งหมด'!I21,DATA!$R$4:$R$8,0)),""))</f>
        <v/>
      </c>
      <c r="E21" s="34">
        <f>IF('1-UseCase ทั้งหมด'!B21="","",IFERROR(INDEX(DATA!$S$30:$S$34,MATCH('1-UseCase ทั้งหมด'!J21,DATA!$S$4:$S$8,0)),""))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ทั้งหมด'!L21,DATA!$B$4:$B$9,0)),""))</f>
        <v/>
      </c>
      <c r="H21" s="34">
        <f>IF('1-UseCase ทั้งหมด'!B21="","",IFERROR(INDEX(DATA!$C$30:$C$33,MATCH('1-UseCase ทั้งหมด'!M21,DATA!$C$4:$C$7,0)),""))</f>
        <v/>
      </c>
      <c r="I21" s="34">
        <f>IF('1-UseCase ทั้งหมด'!B21="","",IFERROR(INDEX(DATA!$D$30:$D$32,MATCH('1-UseCase ทั้งหมด'!O21,DATA!$D$4:$D$6,0)),""))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ทั้งหมด'!P21,DATA!$E$4:$E$7,0)),""))</f>
        <v/>
      </c>
      <c r="L21" s="34">
        <f>IF('1-UseCase ทั้งหมด'!B21="","",IFERROR(INDEX(DATA!$F$30:$F$32,MATCH('1-UseCase ทั้งหมด'!Q21,DATA!$F$4:$F$6,0)),""))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ทั้งหมด'!R21,DATA!$G$4:$G$6,0)),""))</f>
        <v/>
      </c>
      <c r="O21" s="34">
        <f>IF('1-UseCase ทั้งหมด'!B21="","",IFERROR(INDEX(DATA!$H$30:$H$32,MATCH('1-UseCase ทั้งหมด'!S21,DATA!$H$4:$H$6,0)),""))</f>
        <v/>
      </c>
      <c r="P21" s="34">
        <f>IF('1-UseCase ทั้งหมด'!B21="","",IFERROR(INDEX(DATA!$I$30:$I$33,MATCH('1-UseCase ทั้งหมด'!T21,DATA!$I$4:$I$7,0)),""))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ทั้งหมด'!I22,DATA!$R$4:$R$8,0)),""))</f>
        <v/>
      </c>
      <c r="E22" s="34">
        <f>IF('1-UseCase ทั้งหมด'!B22="","",IFERROR(INDEX(DATA!$S$30:$S$34,MATCH('1-UseCase ทั้งหมด'!J22,DATA!$S$4:$S$8,0)),""))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ทั้งหมด'!L22,DATA!$B$4:$B$9,0)),""))</f>
        <v/>
      </c>
      <c r="H22" s="34">
        <f>IF('1-UseCase ทั้งหมด'!B22="","",IFERROR(INDEX(DATA!$C$30:$C$33,MATCH('1-UseCase ทั้งหมด'!M22,DATA!$C$4:$C$7,0)),""))</f>
        <v/>
      </c>
      <c r="I22" s="34">
        <f>IF('1-UseCase ทั้งหมด'!B22="","",IFERROR(INDEX(DATA!$D$30:$D$32,MATCH('1-UseCase ทั้งหมด'!O22,DATA!$D$4:$D$6,0)),""))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ทั้งหมด'!P22,DATA!$E$4:$E$7,0)),""))</f>
        <v/>
      </c>
      <c r="L22" s="34">
        <f>IF('1-UseCase ทั้งหมด'!B22="","",IFERROR(INDEX(DATA!$F$30:$F$32,MATCH('1-UseCase ทั้งหมด'!Q22,DATA!$F$4:$F$6,0)),""))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ทั้งหมด'!R22,DATA!$G$4:$G$6,0)),""))</f>
        <v/>
      </c>
      <c r="O22" s="34">
        <f>IF('1-UseCase ทั้งหมด'!B22="","",IFERROR(INDEX(DATA!$H$30:$H$32,MATCH('1-UseCase ทั้งหมด'!S22,DATA!$H$4:$H$6,0)),""))</f>
        <v/>
      </c>
      <c r="P22" s="34">
        <f>IF('1-UseCase ทั้งหมด'!B22="","",IFERROR(INDEX(DATA!$I$30:$I$33,MATCH('1-UseCase ทั้งหมด'!T22,DATA!$I$4:$I$7,0)),""))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ทั้งหมด'!I23,DATA!$R$4:$R$8,0)),""))</f>
        <v/>
      </c>
      <c r="E23" s="34">
        <f>IF('1-UseCase ทั้งหมด'!B23="","",IFERROR(INDEX(DATA!$S$30:$S$34,MATCH('1-UseCase ทั้งหมด'!J23,DATA!$S$4:$S$8,0)),""))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ทั้งหมด'!L23,DATA!$B$4:$B$9,0)),""))</f>
        <v/>
      </c>
      <c r="H23" s="34">
        <f>IF('1-UseCase ทั้งหมด'!B23="","",IFERROR(INDEX(DATA!$C$30:$C$33,MATCH('1-UseCase ทั้งหมด'!M23,DATA!$C$4:$C$7,0)),""))</f>
        <v/>
      </c>
      <c r="I23" s="34">
        <f>IF('1-UseCase ทั้งหมด'!B23="","",IFERROR(INDEX(DATA!$D$30:$D$32,MATCH('1-UseCase ทั้งหมด'!O23,DATA!$D$4:$D$6,0)),""))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ทั้งหมด'!P23,DATA!$E$4:$E$7,0)),""))</f>
        <v/>
      </c>
      <c r="L23" s="34">
        <f>IF('1-UseCase ทั้งหมด'!B23="","",IFERROR(INDEX(DATA!$F$30:$F$32,MATCH('1-UseCase ทั้งหมด'!Q23,DATA!$F$4:$F$6,0)),""))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ทั้งหมด'!R23,DATA!$G$4:$G$6,0)),""))</f>
        <v/>
      </c>
      <c r="O23" s="34">
        <f>IF('1-UseCase ทั้งหมด'!B23="","",IFERROR(INDEX(DATA!$H$30:$H$32,MATCH('1-UseCase ทั้งหมด'!S23,DATA!$H$4:$H$6,0)),""))</f>
        <v/>
      </c>
      <c r="P23" s="34">
        <f>IF('1-UseCase ทั้งหมด'!B23="","",IFERROR(INDEX(DATA!$I$30:$I$33,MATCH('1-UseCase ทั้งหมด'!T23,DATA!$I$4:$I$7,0)),""))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ทั้งหมด'!I24,DATA!$R$4:$R$8,0)),""))</f>
        <v/>
      </c>
      <c r="E24" s="34">
        <f>IF('1-UseCase ทั้งหมด'!B24="","",IFERROR(INDEX(DATA!$S$30:$S$34,MATCH('1-UseCase ทั้งหมด'!J24,DATA!$S$4:$S$8,0)),""))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ทั้งหมด'!L24,DATA!$B$4:$B$9,0)),""))</f>
        <v/>
      </c>
      <c r="H24" s="34">
        <f>IF('1-UseCase ทั้งหมด'!B24="","",IFERROR(INDEX(DATA!$C$30:$C$33,MATCH('1-UseCase ทั้งหมด'!M24,DATA!$C$4:$C$7,0)),""))</f>
        <v/>
      </c>
      <c r="I24" s="34">
        <f>IF('1-UseCase ทั้งหมด'!B24="","",IFERROR(INDEX(DATA!$D$30:$D$32,MATCH('1-UseCase ทั้งหมด'!O24,DATA!$D$4:$D$6,0)),""))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ทั้งหมด'!P24,DATA!$E$4:$E$7,0)),""))</f>
        <v/>
      </c>
      <c r="L24" s="34">
        <f>IF('1-UseCase ทั้งหมด'!B24="","",IFERROR(INDEX(DATA!$F$30:$F$32,MATCH('1-UseCase ทั้งหมด'!Q24,DATA!$F$4:$F$6,0)),""))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ทั้งหมด'!R24,DATA!$G$4:$G$6,0)),""))</f>
        <v/>
      </c>
      <c r="O24" s="34">
        <f>IF('1-UseCase ทั้งหมด'!B24="","",IFERROR(INDEX(DATA!$H$30:$H$32,MATCH('1-UseCase ทั้งหมด'!S24,DATA!$H$4:$H$6,0)),""))</f>
        <v/>
      </c>
      <c r="P24" s="34">
        <f>IF('1-UseCase ทั้งหมด'!B24="","",IFERROR(INDEX(DATA!$I$30:$I$33,MATCH('1-UseCase ทั้งหมด'!T24,DATA!$I$4:$I$7,0)),""))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ทั้งหมด'!I25,DATA!$R$4:$R$8,0)),""))</f>
        <v/>
      </c>
      <c r="E25" s="34">
        <f>IF('1-UseCase ทั้งหมด'!B25="","",IFERROR(INDEX(DATA!$S$30:$S$34,MATCH('1-UseCase ทั้งหมด'!J25,DATA!$S$4:$S$8,0)),""))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ทั้งหมด'!L25,DATA!$B$4:$B$9,0)),""))</f>
        <v/>
      </c>
      <c r="H25" s="34">
        <f>IF('1-UseCase ทั้งหมด'!B25="","",IFERROR(INDEX(DATA!$C$30:$C$33,MATCH('1-UseCase ทั้งหมด'!M25,DATA!$C$4:$C$7,0)),""))</f>
        <v/>
      </c>
      <c r="I25" s="34">
        <f>IF('1-UseCase ทั้งหมด'!B25="","",IFERROR(INDEX(DATA!$D$30:$D$32,MATCH('1-UseCase ทั้งหมด'!O25,DATA!$D$4:$D$6,0)),""))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ทั้งหมด'!P25,DATA!$E$4:$E$7,0)),""))</f>
        <v/>
      </c>
      <c r="L25" s="34">
        <f>IF('1-UseCase ทั้งหมด'!B25="","",IFERROR(INDEX(DATA!$F$30:$F$32,MATCH('1-UseCase ทั้งหมด'!Q25,DATA!$F$4:$F$6,0)),""))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ทั้งหมด'!R25,DATA!$G$4:$G$6,0)),""))</f>
        <v/>
      </c>
      <c r="O25" s="34">
        <f>IF('1-UseCase ทั้งหมด'!B25="","",IFERROR(INDEX(DATA!$H$30:$H$32,MATCH('1-UseCase ทั้งหมด'!S25,DATA!$H$4:$H$6,0)),""))</f>
        <v/>
      </c>
      <c r="P25" s="34">
        <f>IF('1-UseCase ทั้งหมด'!B25="","",IFERROR(INDEX(DATA!$I$30:$I$33,MATCH('1-UseCase ทั้งหมด'!T25,DATA!$I$4:$I$7,0)),""))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ทั้งหมด'!I26,DATA!$R$4:$R$8,0)),""))</f>
        <v/>
      </c>
      <c r="E26" s="34">
        <f>IF('1-UseCase ทั้งหมด'!B26="","",IFERROR(INDEX(DATA!$S$30:$S$34,MATCH('1-UseCase ทั้งหมด'!J26,DATA!$S$4:$S$8,0)),""))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ทั้งหมด'!L26,DATA!$B$4:$B$9,0)),""))</f>
        <v/>
      </c>
      <c r="H26" s="34">
        <f>IF('1-UseCase ทั้งหมด'!B26="","",IFERROR(INDEX(DATA!$C$30:$C$33,MATCH('1-UseCase ทั้งหมด'!M26,DATA!$C$4:$C$7,0)),""))</f>
        <v/>
      </c>
      <c r="I26" s="34">
        <f>IF('1-UseCase ทั้งหมด'!B26="","",IFERROR(INDEX(DATA!$D$30:$D$32,MATCH('1-UseCase ทั้งหมด'!O26,DATA!$D$4:$D$6,0)),""))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ทั้งหมด'!P26,DATA!$E$4:$E$7,0)),""))</f>
        <v/>
      </c>
      <c r="L26" s="34">
        <f>IF('1-UseCase ทั้งหมด'!B26="","",IFERROR(INDEX(DATA!$F$30:$F$32,MATCH('1-UseCase ทั้งหมด'!Q26,DATA!$F$4:$F$6,0)),""))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ทั้งหมด'!R26,DATA!$G$4:$G$6,0)),""))</f>
        <v/>
      </c>
      <c r="O26" s="34">
        <f>IF('1-UseCase ทั้งหมด'!B26="","",IFERROR(INDEX(DATA!$H$30:$H$32,MATCH('1-UseCase ทั้งหมด'!S26,DATA!$H$4:$H$6,0)),""))</f>
        <v/>
      </c>
      <c r="P26" s="34">
        <f>IF('1-UseCase ทั้งหมด'!B26="","",IFERROR(INDEX(DATA!$I$30:$I$33,MATCH('1-UseCase ทั้งหมด'!T26,DATA!$I$4:$I$7,0)),""))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ทั้งหมด'!I27,DATA!$R$4:$R$8,0)),""))</f>
        <v/>
      </c>
      <c r="E27" s="34">
        <f>IF('1-UseCase ทั้งหมด'!B27="","",IFERROR(INDEX(DATA!$S$30:$S$34,MATCH('1-UseCase ทั้งหมด'!J27,DATA!$S$4:$S$8,0)),""))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ทั้งหมด'!L27,DATA!$B$4:$B$9,0)),""))</f>
        <v/>
      </c>
      <c r="H27" s="34">
        <f>IF('1-UseCase ทั้งหมด'!B27="","",IFERROR(INDEX(DATA!$C$30:$C$33,MATCH('1-UseCase ทั้งหมด'!M27,DATA!$C$4:$C$7,0)),""))</f>
        <v/>
      </c>
      <c r="I27" s="34">
        <f>IF('1-UseCase ทั้งหมด'!B27="","",IFERROR(INDEX(DATA!$D$30:$D$32,MATCH('1-UseCase ทั้งหมด'!O27,DATA!$D$4:$D$6,0)),""))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ทั้งหมด'!P27,DATA!$E$4:$E$7,0)),""))</f>
        <v/>
      </c>
      <c r="L27" s="34">
        <f>IF('1-UseCase ทั้งหมด'!B27="","",IFERROR(INDEX(DATA!$F$30:$F$32,MATCH('1-UseCase ทั้งหมด'!Q27,DATA!$F$4:$F$6,0)),""))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ทั้งหมด'!R27,DATA!$G$4:$G$6,0)),""))</f>
        <v/>
      </c>
      <c r="O27" s="34">
        <f>IF('1-UseCase ทั้งหมด'!B27="","",IFERROR(INDEX(DATA!$H$30:$H$32,MATCH('1-UseCase ทั้งหมด'!S27,DATA!$H$4:$H$6,0)),""))</f>
        <v/>
      </c>
      <c r="P27" s="34">
        <f>IF('1-UseCase ทั้งหมด'!B27="","",IFERROR(INDEX(DATA!$I$30:$I$33,MATCH('1-UseCase ทั้งหมด'!T27,DATA!$I$4:$I$7,0)),""))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ทั้งหมด'!I28,DATA!$R$4:$R$8,0)),""))</f>
        <v/>
      </c>
      <c r="E28" s="34">
        <f>IF('1-UseCase ทั้งหมด'!B28="","",IFERROR(INDEX(DATA!$S$30:$S$34,MATCH('1-UseCase ทั้งหมด'!J28,DATA!$S$4:$S$8,0)),""))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ทั้งหมด'!L28,DATA!$B$4:$B$9,0)),""))</f>
        <v/>
      </c>
      <c r="H28" s="34">
        <f>IF('1-UseCase ทั้งหมด'!B28="","",IFERROR(INDEX(DATA!$C$30:$C$33,MATCH('1-UseCase ทั้งหมด'!M28,DATA!$C$4:$C$7,0)),""))</f>
        <v/>
      </c>
      <c r="I28" s="34">
        <f>IF('1-UseCase ทั้งหมด'!B28="","",IFERROR(INDEX(DATA!$D$30:$D$32,MATCH('1-UseCase ทั้งหมด'!O28,DATA!$D$4:$D$6,0)),""))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ทั้งหมด'!P28,DATA!$E$4:$E$7,0)),""))</f>
        <v/>
      </c>
      <c r="L28" s="34">
        <f>IF('1-UseCase ทั้งหมด'!B28="","",IFERROR(INDEX(DATA!$F$30:$F$32,MATCH('1-UseCase ทั้งหมด'!Q28,DATA!$F$4:$F$6,0)),""))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ทั้งหมด'!R28,DATA!$G$4:$G$6,0)),""))</f>
        <v/>
      </c>
      <c r="O28" s="34">
        <f>IF('1-UseCase ทั้งหมด'!B28="","",IFERROR(INDEX(DATA!$H$30:$H$32,MATCH('1-UseCase ทั้งหมด'!S28,DATA!$H$4:$H$6,0)),""))</f>
        <v/>
      </c>
      <c r="P28" s="34">
        <f>IF('1-UseCase ทั้งหมด'!B28="","",IFERROR(INDEX(DATA!$I$30:$I$33,MATCH('1-UseCase ทั้งหมด'!T28,DATA!$I$4:$I$7,0)),""))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ทั้งหมด'!I29,DATA!$R$4:$R$8,0)),""))</f>
        <v/>
      </c>
      <c r="E29" s="34">
        <f>IF('1-UseCase ทั้งหมด'!B29="","",IFERROR(INDEX(DATA!$S$30:$S$34,MATCH('1-UseCase ทั้งหมด'!J29,DATA!$S$4:$S$8,0)),""))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ทั้งหมด'!L29,DATA!$B$4:$B$9,0)),""))</f>
        <v/>
      </c>
      <c r="H29" s="34">
        <f>IF('1-UseCase ทั้งหมด'!B29="","",IFERROR(INDEX(DATA!$C$30:$C$33,MATCH('1-UseCase ทั้งหมด'!M29,DATA!$C$4:$C$7,0)),""))</f>
        <v/>
      </c>
      <c r="I29" s="34">
        <f>IF('1-UseCase ทั้งหมด'!B29="","",IFERROR(INDEX(DATA!$D$30:$D$32,MATCH('1-UseCase ทั้งหมด'!O29,DATA!$D$4:$D$6,0)),""))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ทั้งหมด'!P29,DATA!$E$4:$E$7,0)),""))</f>
        <v/>
      </c>
      <c r="L29" s="34">
        <f>IF('1-UseCase ทั้งหมด'!B29="","",IFERROR(INDEX(DATA!$F$30:$F$32,MATCH('1-UseCase ทั้งหมด'!Q29,DATA!$F$4:$F$6,0)),""))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ทั้งหมด'!R29,DATA!$G$4:$G$6,0)),""))</f>
        <v/>
      </c>
      <c r="O29" s="34">
        <f>IF('1-UseCase ทั้งหมด'!B29="","",IFERROR(INDEX(DATA!$H$30:$H$32,MATCH('1-UseCase ทั้งหมด'!S29,DATA!$H$4:$H$6,0)),""))</f>
        <v/>
      </c>
      <c r="P29" s="34">
        <f>IF('1-UseCase ทั้งหมด'!B29="","",IFERROR(INDEX(DATA!$I$30:$I$33,MATCH('1-UseCase ทั้งหมด'!T29,DATA!$I$4:$I$7,0)),""))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ทั้งหมด'!I30,DATA!$R$4:$R$8,0)),""))</f>
        <v/>
      </c>
      <c r="E30" s="34">
        <f>IF('1-UseCase ทั้งหมด'!B30="","",IFERROR(INDEX(DATA!$S$30:$S$34,MATCH('1-UseCase ทั้งหมด'!J30,DATA!$S$4:$S$8,0)),""))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ทั้งหมด'!L30,DATA!$B$4:$B$9,0)),""))</f>
        <v/>
      </c>
      <c r="H30" s="34">
        <f>IF('1-UseCase ทั้งหมด'!B30="","",IFERROR(INDEX(DATA!$C$30:$C$33,MATCH('1-UseCase ทั้งหมด'!M30,DATA!$C$4:$C$7,0)),""))</f>
        <v/>
      </c>
      <c r="I30" s="34">
        <f>IF('1-UseCase ทั้งหมด'!B30="","",IFERROR(INDEX(DATA!$D$30:$D$32,MATCH('1-UseCase ทั้งหมด'!O30,DATA!$D$4:$D$6,0)),""))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ทั้งหมด'!P30,DATA!$E$4:$E$7,0)),""))</f>
        <v/>
      </c>
      <c r="L30" s="34">
        <f>IF('1-UseCase ทั้งหมด'!B30="","",IFERROR(INDEX(DATA!$F$30:$F$32,MATCH('1-UseCase ทั้งหมด'!Q30,DATA!$F$4:$F$6,0)),""))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ทั้งหมด'!R30,DATA!$G$4:$G$6,0)),""))</f>
        <v/>
      </c>
      <c r="O30" s="34">
        <f>IF('1-UseCase ทั้งหมด'!B30="","",IFERROR(INDEX(DATA!$H$30:$H$32,MATCH('1-UseCase ทั้งหมด'!S30,DATA!$H$4:$H$6,0)),""))</f>
        <v/>
      </c>
      <c r="P30" s="34">
        <f>IF('1-UseCase ทั้งหมด'!B30="","",IFERROR(INDEX(DATA!$I$30:$I$33,MATCH('1-UseCase ทั้งหมด'!T30,DATA!$I$4:$I$7,0)),""))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ทั้งหมด'!I31,DATA!$R$4:$R$8,0)),""))</f>
        <v/>
      </c>
      <c r="E31" s="34">
        <f>IF('1-UseCase ทั้งหมด'!B31="","",IFERROR(INDEX(DATA!$S$30:$S$34,MATCH('1-UseCase ทั้งหมด'!J31,DATA!$S$4:$S$8,0)),""))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ทั้งหมด'!L31,DATA!$B$4:$B$9,0)),""))</f>
        <v/>
      </c>
      <c r="H31" s="34">
        <f>IF('1-UseCase ทั้งหมด'!B31="","",IFERROR(INDEX(DATA!$C$30:$C$33,MATCH('1-UseCase ทั้งหมด'!M31,DATA!$C$4:$C$7,0)),""))</f>
        <v/>
      </c>
      <c r="I31" s="34">
        <f>IF('1-UseCase ทั้งหมด'!B31="","",IFERROR(INDEX(DATA!$D$30:$D$32,MATCH('1-UseCase ทั้งหมด'!O31,DATA!$D$4:$D$6,0)),""))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ทั้งหมด'!P31,DATA!$E$4:$E$7,0)),""))</f>
        <v/>
      </c>
      <c r="L31" s="34">
        <f>IF('1-UseCase ทั้งหมด'!B31="","",IFERROR(INDEX(DATA!$F$30:$F$32,MATCH('1-UseCase ทั้งหมด'!Q31,DATA!$F$4:$F$6,0)),""))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ทั้งหมด'!R31,DATA!$G$4:$G$6,0)),""))</f>
        <v/>
      </c>
      <c r="O31" s="34">
        <f>IF('1-UseCase ทั้งหมด'!B31="","",IFERROR(INDEX(DATA!$H$30:$H$32,MATCH('1-UseCase ทั้งหมด'!S31,DATA!$H$4:$H$6,0)),""))</f>
        <v/>
      </c>
      <c r="P31" s="34">
        <f>IF('1-UseCase ทั้งหมด'!B31="","",IFERROR(INDEX(DATA!$I$30:$I$33,MATCH('1-UseCase ทั้งหมด'!T31,DATA!$I$4:$I$7,0)),""))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ทั้งหมด'!I32,DATA!$R$4:$R$8,0)),""))</f>
        <v/>
      </c>
      <c r="E32" s="34">
        <f>IF('1-UseCase ทั้งหมด'!B32="","",IFERROR(INDEX(DATA!$S$30:$S$34,MATCH('1-UseCase ทั้งหมด'!J32,DATA!$S$4:$S$8,0)),""))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ทั้งหมด'!L32,DATA!$B$4:$B$9,0)),""))</f>
        <v/>
      </c>
      <c r="H32" s="34">
        <f>IF('1-UseCase ทั้งหมด'!B32="","",IFERROR(INDEX(DATA!$C$30:$C$33,MATCH('1-UseCase ทั้งหมด'!M32,DATA!$C$4:$C$7,0)),""))</f>
        <v/>
      </c>
      <c r="I32" s="34">
        <f>IF('1-UseCase ทั้งหมด'!B32="","",IFERROR(INDEX(DATA!$D$30:$D$32,MATCH('1-UseCase ทั้งหมด'!O32,DATA!$D$4:$D$6,0)),""))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ทั้งหมด'!P32,DATA!$E$4:$E$7,0)),""))</f>
        <v/>
      </c>
      <c r="L32" s="34">
        <f>IF('1-UseCase ทั้งหมด'!B32="","",IFERROR(INDEX(DATA!$F$30:$F$32,MATCH('1-UseCase ทั้งหมด'!Q32,DATA!$F$4:$F$6,0)),""))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ทั้งหมด'!R32,DATA!$G$4:$G$6,0)),""))</f>
        <v/>
      </c>
      <c r="O32" s="34">
        <f>IF('1-UseCase ทั้งหมด'!B32="","",IFERROR(INDEX(DATA!$H$30:$H$32,MATCH('1-UseCase ทั้งหมด'!S32,DATA!$H$4:$H$6,0)),""))</f>
        <v/>
      </c>
      <c r="P32" s="34">
        <f>IF('1-UseCase ทั้งหมด'!B32="","",IFERROR(INDEX(DATA!$I$30:$I$33,MATCH('1-UseCase ทั้งหมด'!T32,DATA!$I$4:$I$7,0)),""))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ทั้งหมด'!I33,DATA!$R$4:$R$8,0)),""))</f>
        <v/>
      </c>
      <c r="E33" s="34">
        <f>IF('1-UseCase ทั้งหมด'!B33="","",IFERROR(INDEX(DATA!$S$30:$S$34,MATCH('1-UseCase ทั้งหมด'!J33,DATA!$S$4:$S$8,0)),""))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ทั้งหมด'!L33,DATA!$B$4:$B$9,0)),""))</f>
        <v/>
      </c>
      <c r="H33" s="34">
        <f>IF('1-UseCase ทั้งหมด'!B33="","",IFERROR(INDEX(DATA!$C$30:$C$33,MATCH('1-UseCase ทั้งหมด'!M33,DATA!$C$4:$C$7,0)),""))</f>
        <v/>
      </c>
      <c r="I33" s="34">
        <f>IF('1-UseCase ทั้งหมด'!B33="","",IFERROR(INDEX(DATA!$D$30:$D$32,MATCH('1-UseCase ทั้งหมด'!O33,DATA!$D$4:$D$6,0)),""))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ทั้งหมด'!P33,DATA!$E$4:$E$7,0)),""))</f>
        <v/>
      </c>
      <c r="L33" s="34">
        <f>IF('1-UseCase ทั้งหมด'!B33="","",IFERROR(INDEX(DATA!$F$30:$F$32,MATCH('1-UseCase ทั้งหมด'!Q33,DATA!$F$4:$F$6,0)),""))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ทั้งหมด'!R33,DATA!$G$4:$G$6,0)),""))</f>
        <v/>
      </c>
      <c r="O33" s="34">
        <f>IF('1-UseCase ทั้งหมด'!B33="","",IFERROR(INDEX(DATA!$H$30:$H$32,MATCH('1-UseCase ทั้งหมด'!S33,DATA!$H$4:$H$6,0)),""))</f>
        <v/>
      </c>
      <c r="P33" s="34">
        <f>IF('1-UseCase ทั้งหมด'!B33="","",IFERROR(INDEX(DATA!$I$30:$I$33,MATCH('1-UseCase ทั้งหมด'!T33,DATA!$I$4:$I$7,0)),""))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ทั้งหมด'!I34,DATA!$R$4:$R$8,0)),""))</f>
        <v/>
      </c>
      <c r="E34" s="34">
        <f>IF('1-UseCase ทั้งหมด'!B34="","",IFERROR(INDEX(DATA!$S$30:$S$34,MATCH('1-UseCase ทั้งหมด'!J34,DATA!$S$4:$S$8,0)),""))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ทั้งหมด'!L34,DATA!$B$4:$B$9,0)),""))</f>
        <v/>
      </c>
      <c r="H34" s="34">
        <f>IF('1-UseCase ทั้งหมด'!B34="","",IFERROR(INDEX(DATA!$C$30:$C$33,MATCH('1-UseCase ทั้งหมด'!M34,DATA!$C$4:$C$7,0)),""))</f>
        <v/>
      </c>
      <c r="I34" s="34">
        <f>IF('1-UseCase ทั้งหมด'!B34="","",IFERROR(INDEX(DATA!$D$30:$D$32,MATCH('1-UseCase ทั้งหมด'!O34,DATA!$D$4:$D$6,0)),""))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ทั้งหมด'!P34,DATA!$E$4:$E$7,0)),""))</f>
        <v/>
      </c>
      <c r="L34" s="34">
        <f>IF('1-UseCase ทั้งหมด'!B34="","",IFERROR(INDEX(DATA!$F$30:$F$32,MATCH('1-UseCase ทั้งหมด'!Q34,DATA!$F$4:$F$6,0)),""))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ทั้งหมด'!R34,DATA!$G$4:$G$6,0)),""))</f>
        <v/>
      </c>
      <c r="O34" s="34">
        <f>IF('1-UseCase ทั้งหมด'!B34="","",IFERROR(INDEX(DATA!$H$30:$H$32,MATCH('1-UseCase ทั้งหมด'!S34,DATA!$H$4:$H$6,0)),""))</f>
        <v/>
      </c>
      <c r="P34" s="34">
        <f>IF('1-UseCase ทั้งหมด'!B34="","",IFERROR(INDEX(DATA!$I$30:$I$33,MATCH('1-UseCase ทั้งหมด'!T34,DATA!$I$4:$I$7,0)),""))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ทั้งหมด'!I35,DATA!$R$4:$R$8,0)),""))</f>
        <v/>
      </c>
      <c r="E35" s="34">
        <f>IF('1-UseCase ทั้งหมด'!B35="","",IFERROR(INDEX(DATA!$S$30:$S$34,MATCH('1-UseCase ทั้งหมด'!J35,DATA!$S$4:$S$8,0)),""))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ทั้งหมด'!L35,DATA!$B$4:$B$9,0)),""))</f>
        <v/>
      </c>
      <c r="H35" s="34">
        <f>IF('1-UseCase ทั้งหมด'!B35="","",IFERROR(INDEX(DATA!$C$30:$C$33,MATCH('1-UseCase ทั้งหมด'!M35,DATA!$C$4:$C$7,0)),""))</f>
        <v/>
      </c>
      <c r="I35" s="34">
        <f>IF('1-UseCase ทั้งหมด'!B35="","",IFERROR(INDEX(DATA!$D$30:$D$32,MATCH('1-UseCase ทั้งหมด'!O35,DATA!$D$4:$D$6,0)),""))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ทั้งหมด'!P35,DATA!$E$4:$E$7,0)),""))</f>
        <v/>
      </c>
      <c r="L35" s="34">
        <f>IF('1-UseCase ทั้งหมด'!B35="","",IFERROR(INDEX(DATA!$F$30:$F$32,MATCH('1-UseCase ทั้งหมด'!Q35,DATA!$F$4:$F$6,0)),""))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ทั้งหมด'!R35,DATA!$G$4:$G$6,0)),""))</f>
        <v/>
      </c>
      <c r="O35" s="34">
        <f>IF('1-UseCase ทั้งหมด'!B35="","",IFERROR(INDEX(DATA!$H$30:$H$32,MATCH('1-UseCase ทั้งหมด'!S35,DATA!$H$4:$H$6,0)),""))</f>
        <v/>
      </c>
      <c r="P35" s="34">
        <f>IF('1-UseCase ทั้งหมด'!B35="","",IFERROR(INDEX(DATA!$I$30:$I$33,MATCH('1-UseCase ทั้งหมด'!T35,DATA!$I$4:$I$7,0)),""))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ทั้งหมด'!I36,DATA!$R$4:$R$8,0)),""))</f>
        <v/>
      </c>
      <c r="E36" s="34">
        <f>IF('1-UseCase ทั้งหมด'!B36="","",IFERROR(INDEX(DATA!$S$30:$S$34,MATCH('1-UseCase ทั้งหมด'!J36,DATA!$S$4:$S$8,0)),""))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ทั้งหมด'!L36,DATA!$B$4:$B$9,0)),""))</f>
        <v/>
      </c>
      <c r="H36" s="34">
        <f>IF('1-UseCase ทั้งหมด'!B36="","",IFERROR(INDEX(DATA!$C$30:$C$33,MATCH('1-UseCase ทั้งหมด'!M36,DATA!$C$4:$C$7,0)),""))</f>
        <v/>
      </c>
      <c r="I36" s="34">
        <f>IF('1-UseCase ทั้งหมด'!B36="","",IFERROR(INDEX(DATA!$D$30:$D$32,MATCH('1-UseCase ทั้งหมด'!O36,DATA!$D$4:$D$6,0)),""))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ทั้งหมด'!P36,DATA!$E$4:$E$7,0)),""))</f>
        <v/>
      </c>
      <c r="L36" s="34">
        <f>IF('1-UseCase ทั้งหมด'!B36="","",IFERROR(INDEX(DATA!$F$30:$F$32,MATCH('1-UseCase ทั้งหมด'!Q36,DATA!$F$4:$F$6,0)),""))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ทั้งหมด'!R36,DATA!$G$4:$G$6,0)),""))</f>
        <v/>
      </c>
      <c r="O36" s="34">
        <f>IF('1-UseCase ทั้งหมด'!B36="","",IFERROR(INDEX(DATA!$H$30:$H$32,MATCH('1-UseCase ทั้งหมด'!S36,DATA!$H$4:$H$6,0)),""))</f>
        <v/>
      </c>
      <c r="P36" s="34">
        <f>IF('1-UseCase ทั้งหมด'!B36="","",IFERROR(INDEX(DATA!$I$30:$I$33,MATCH('1-UseCase ทั้งหมด'!T36,DATA!$I$4:$I$7,0)),""))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0">
      <formula>75</formula>
    </cfRule>
    <cfRule type="cellIs" priority="2" operator="between" dxfId="1">
      <formula>50</formula>
      <formula>74.99</formula>
    </cfRule>
    <cfRule type="cellIs" priority="3" operator="lessThan" dxfId="2">
      <formula>50</formula>
    </cfRule>
  </conditionalFormatting>
  <conditionalFormatting sqref="S6:S36">
    <cfRule type="cellIs" priority="4" operator="equal" dxfId="3">
      <formula>"ข้อมูลไม่ครบ"</formula>
    </cfRule>
  </conditionalFormatting>
  <conditionalFormatting sqref="U6:U36">
    <cfRule type="cellIs" priority="5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ตอนนี้ข้อมูลเก็บอยู่ในรูปแบบไหน</t>
        </is>
      </c>
      <c r="C3" s="40" t="inlineStr">
        <is>
          <t>มีข้อมูลย้อนหลังนานแค่ไหน</t>
        </is>
      </c>
      <c r="D3" s="40" t="inlineStr">
        <is>
          <t>สิทธิ์นำข้อมูลมาใช้</t>
        </is>
      </c>
      <c r="E3" s="40" t="inlineStr">
        <is>
          <t>ต้องเชื่อมต่อกับระบบไอทีเดิมมั้ย</t>
        </is>
      </c>
      <c r="F3" s="40" t="inlineStr">
        <is>
          <t>มีคนดูแลระบบต่อหลังส่งมอบมั้ย</t>
        </is>
      </c>
      <c r="G3" s="40" t="inlineStr">
        <is>
          <t>ถ้า AI ตอบผิด จะเกิดอะไรขึ้น</t>
        </is>
      </c>
      <c r="H3" s="40" t="inlineStr">
        <is>
          <t>ต้องให้คนตรวจงานที่ AI ทำซ้ำมั้ย</t>
        </is>
      </c>
      <c r="I3" s="40" t="inlineStr">
        <is>
          <t>ข้อมูลชุดนี้ลับแค่ไหน</t>
        </is>
      </c>
      <c r="J3" s="40" t="inlineStr">
        <is>
          <t>ความสำคัญที่แผนกอยากได้</t>
        </is>
      </c>
      <c r="K3" s="40" t="inlineStr">
        <is>
          <t>ประเภทข้อมูล Input</t>
        </is>
      </c>
      <c r="L3" s="40" t="inlineStr">
        <is>
          <t>ภาษาที่ต้องการ</t>
        </is>
      </c>
      <c r="M3" s="40" t="inlineStr">
        <is>
          <t>Latency ที่รับได้</t>
        </is>
      </c>
      <c r="N3" s="40" t="inlineStr">
        <is>
          <t>Availability</t>
        </is>
      </c>
      <c r="O3" s="40" t="inlineStr">
        <is>
          <t>ความละเอียดรูป</t>
        </is>
      </c>
      <c r="P3" s="40" t="inlineStr">
        <is>
          <t>ที่ตั้งระบบ</t>
        </is>
      </c>
      <c r="Q3" s="40" t="inlineStr">
        <is>
          <t>ต้องสอนโมเดลด้วยข้อมูลบริษัทมั้ย</t>
        </is>
      </c>
      <c r="R3" s="40" t="inlineStr">
        <is>
          <t>เวลาที่ใช้กับงานนี้ตอนนี้</t>
        </is>
      </c>
      <c r="S3" s="40" t="inlineStr">
        <is>
          <t>มูลค่าความเสียหาย/ของเสียต่อปี</t>
        </is>
      </c>
      <c r="T3" s="40" t="inlineStr">
        <is>
          <t>จำนวน Users/วัน</t>
        </is>
      </c>
      <c r="U3" s="40" t="inlineStr">
        <is>
          <t>Peak concurrent (คนพร้อมกัน)</t>
        </is>
      </c>
      <c r="V3" s="40" t="inlineStr">
        <is>
          <t>Requests/วัน</t>
        </is>
      </c>
      <c r="W3" s="40" t="inlineStr">
        <is>
          <t>ขนาดข้อมูล Input/วัน</t>
        </is>
      </c>
      <c r="X3" s="40" t="inlineStr">
        <is>
          <t>ขนาดคลังเอกสารทั้งหมด (RAG)</t>
        </is>
      </c>
      <c r="Y3" s="40" t="inlineStr">
        <is>
          <t>จำนวนกล้อง/จุดตรวจพร้อมกัน</t>
        </is>
      </c>
      <c r="Z3" s="40" t="inlineStr">
        <is>
          <t>ติดตั้งแบบไหน</t>
        </is>
      </c>
      <c r="AB3" s="40" t="inlineStr">
        <is>
          <t>ต้องเก็บข้อมูลย้อนหลังกี่ปี</t>
        </is>
      </c>
      <c r="AC3" s="40" t="inlineStr">
        <is>
          <t>ต้องเทรนโมเดลใหม่บ่อยแค่ไหน</t>
        </is>
      </c>
      <c r="AD3" s="40" t="inlineStr">
        <is>
          <t>ถ้างานนี้ช้าลงจะเป็นปัญหามั้ย</t>
        </is>
      </c>
      <c r="AH3" s="41" t="inlineStr">
        <is>
          <t>น้ำหนักแต่ละปัจจัย</t>
        </is>
      </c>
    </row>
    <row r="4">
      <c r="A4" s="42" t="inlineStr">
        <is>
          <t>S.K.Polymer</t>
        </is>
      </c>
      <c r="B4" s="42" t="inlineStr">
        <is>
          <t>กระดาษ / เอกสารเขียนมือ - ต้องพิมพ์เข้าคอมก่อน</t>
        </is>
      </c>
      <c r="C4" s="42" t="inlineStr">
        <is>
          <t>ยังไม่มี - ต้องเริ่มเก็บใหม่</t>
        </is>
      </c>
      <c r="D4" s="42" t="inlineStr">
        <is>
          <t>ได้ทันที - ข้อมูลอยู่ในมือแผนกเราเอง</t>
        </is>
      </c>
      <c r="E4" s="42" t="inlineStr">
        <is>
          <t>ไม่มี - AI ทำงานแยกเดี่ยวได้เลย ไม่ต้องยุ่งกับระบบไหน</t>
        </is>
      </c>
      <c r="F4" s="42" t="inlineStr">
        <is>
          <t>มี - มีคนในแผนกรับดูแลต่อได้ (ระบุชื่อในหมายเหตุ)</t>
        </is>
      </c>
      <c r="G4" s="42" t="inlineStr">
        <is>
          <t>ต่ำ - คนเห็นแล้วแก้ได้ทันที ไม่มีใครเดือดร้อน</t>
        </is>
      </c>
      <c r="H4" s="42" t="inlineStr">
        <is>
          <t>ไม่ต้อง - ใช้ผล AI ได้เลย</t>
        </is>
      </c>
      <c r="I4" s="42" t="inlineStr">
        <is>
          <t>สาธารณะ - หลุดออกไปก็ไม่เป็นไร</t>
        </is>
      </c>
      <c r="J4" s="42" t="inlineStr">
        <is>
          <t>สูง - ต้องการด่วน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Real-time (0 - 2 วินาที)</t>
        </is>
      </c>
      <c r="N4" s="42" t="inlineStr">
        <is>
          <t>Business Hour (8:00 - 18:00)</t>
        </is>
      </c>
      <c r="O4" s="42" t="inlineStr">
        <is>
          <t>ไม่เกี่ยวข้อง</t>
        </is>
      </c>
      <c r="P4" s="42" t="inlineStr">
        <is>
          <t>On-premise เท่านั้น (ห้ามออกนอก)</t>
        </is>
      </c>
      <c r="Q4" s="42" t="inlineStr">
        <is>
          <t>ไม่ต้อง - ใช้โมเดลสำเร็จรูปได้เลย (งานความรู้ทั่วไป)</t>
        </is>
      </c>
      <c r="R4" s="42" t="inlineStr">
        <is>
          <t>น้อยกว่า 4 ชม./สัปดาห์  (ไม่ถึงครึ่งวันทำงาน)</t>
        </is>
      </c>
      <c r="S4" s="42" t="inlineStr">
        <is>
          <t>ประเมินเป็นเงินไม่ได้ / ไม่มีความเสียหายโดยตรง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ครั้ง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ไม่ใช่งานค้นหาเอกสาร</t>
        </is>
      </c>
      <c r="Y4" s="42" t="inlineStr">
        <is>
          <t>ไม่เกี่ยวข้อง - ไม่ใช่งานภาพ</t>
        </is>
      </c>
      <c r="Z4" s="42" t="inlineStr">
        <is>
          <t>รันบน server กลางได้ - ส่งข้อมูลผ่านเครือข่ายมาได้</t>
        </is>
      </c>
      <c r="AB4" s="42" t="inlineStr">
        <is>
          <t>1 ปี</t>
        </is>
      </c>
      <c r="AC4" s="42" t="inlineStr">
        <is>
          <t>ไม่ต้องเทรนเลย - ใช้โมเดลสำเร็จรูป</t>
        </is>
      </c>
      <c r="AD4" s="42" t="inlineStr">
        <is>
          <t>ไม่เป็นไร - รอได้ ช้าหน่อยก็ยังใช้งานได้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Thairubbtech</t>
        </is>
      </c>
      <c r="B5" s="42" t="inlineStr">
        <is>
          <t>ไฟล์ Excel / CSV - เปิดใช้ได้เลย</t>
        </is>
      </c>
      <c r="C5" s="42" t="inlineStr">
        <is>
          <t>น้อยกว่า 1 ปี - อาจยังไม่พอเทรน</t>
        </is>
      </c>
      <c r="D5" s="42" t="inlineStr">
        <is>
          <t>ต้องขออนุมัติก่อน - เป็นของแผนกอื่น / IT</t>
        </is>
      </c>
      <c r="E5" s="42" t="inlineStr">
        <is>
          <t>มี - แค่ export ไฟล์ออกมาให้ AI แล้วเอาผลกลับเข้าไปทีหลังก็พอ</t>
        </is>
      </c>
      <c r="F5" s="42" t="inlineStr">
        <is>
          <t>ยังไม่แน่ใจ - ต้องหาคนก่อน</t>
        </is>
      </c>
      <c r="G5" s="42" t="inlineStr">
        <is>
          <t>กลาง - เสียเวลาทำใหม่ หรือเสียต้นทุนบางส่วน</t>
        </is>
      </c>
      <c r="H5" s="42" t="inlineStr">
        <is>
          <t>สุ่มตรวจบางส่วน - ตรวจเฉพาะที่ AI ไม่มั่นใจ</t>
        </is>
      </c>
      <c r="I5" s="42" t="inlineStr">
        <is>
          <t>ข้อมูลภายใน - ห้ามออกนอกบริษัท</t>
        </is>
      </c>
      <c r="J5" s="42" t="inlineStr">
        <is>
          <t>กลาง - (Q2 - Q3)</t>
        </is>
      </c>
      <c r="K5" s="42" t="inlineStr">
        <is>
          <t>รูปภาพ</t>
        </is>
      </c>
      <c r="L5" s="42" t="inlineStr">
        <is>
          <t>อังกฤษ</t>
        </is>
      </c>
      <c r="M5" s="42" t="inlineStr">
        <is>
          <t>Interactive (2 - 10 วินาที)</t>
        </is>
      </c>
      <c r="N5" s="42" t="inlineStr">
        <is>
          <t>Extended (6:00 - 22:00)</t>
        </is>
      </c>
      <c r="O5" s="42" t="inlineStr">
        <is>
          <t>ต่ำกว่า 1 MP</t>
        </is>
      </c>
      <c r="P5" s="42" t="inlineStr">
        <is>
          <t>ใช้ Cloud / API ภายนอกได้</t>
        </is>
      </c>
      <c r="Q5" s="42" t="inlineStr">
        <is>
          <t>ไม่ต้องเทรน แต่ให้อ่านเอกสารบริษัท (RAG)</t>
        </is>
      </c>
      <c r="R5" s="42" t="inlineStr">
        <is>
          <t>4 - 10 ชม./สัปดาห์  (ประมาณ 1 วันทำงาน)</t>
        </is>
      </c>
      <c r="S5" s="42" t="inlineStr">
        <is>
          <t>น้อยกว่า 1 แสนบาท/ปี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ครั้ง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ต้องมีเครื่องที่หน้างาน - ติดข้างเครื่องจักร/สายพาน</t>
        </is>
      </c>
      <c r="AB5" s="42" t="inlineStr">
        <is>
          <t>2 - 3 ปี</t>
        </is>
      </c>
      <c r="AC5" s="42" t="inlineStr">
        <is>
          <t>ครั้งเดียวจบ - เทรนเสร็จใช้ยาว</t>
        </is>
      </c>
      <c r="AD5" s="42" t="inlineStr">
        <is>
          <t>พอรับได้ - แต่ช่วงเร่งด่วนต้องได้ใช้ก่อน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Polymate</t>
        </is>
      </c>
      <c r="B6" s="42" t="inlineStr">
        <is>
          <t>ฐานข้อมูลในระบบ (ERP/MES/SQL) - ดึงอัตโนมัติได้</t>
        </is>
      </c>
      <c r="C6" s="42" t="inlineStr">
        <is>
          <t>1 - 3 ปี - พอใช้ได้</t>
        </is>
      </c>
      <c r="D6" s="42" t="inlineStr">
        <is>
          <t>ขอไม่ได้ / ยังไม่แน่ใจ - เป็นของลูกค้าหรือ vendor</t>
        </is>
      </c>
      <c r="E6" s="42" t="inlineStr">
        <is>
          <t>มี - AI ต้องอ่าน/เขียนข้อมูลในระบบโดยตรงแบบทันที</t>
        </is>
      </c>
      <c r="F6" s="42" t="inlineStr">
        <is>
          <t>ไม่มี - ต้องพึ่งคนนอกแผนกตลอด</t>
        </is>
      </c>
      <c r="G6" s="42" t="inlineStr">
        <is>
          <t>สูง - ของเสียหลุดถึงลูกค้า / อันตราย / ผิดกฎหมาย</t>
        </is>
      </c>
      <c r="H6" s="42" t="inlineStr">
        <is>
          <t>ตรวจซ้ำทุกครั้ง - คนต้องดูทุกชิ้น/ทุกรายการ</t>
        </is>
      </c>
      <c r="I6" s="42" t="inlineStr">
        <is>
          <t>ลับ - ต้องจำกัดสิทธิ์ว่าใครเปิดดูได้บ้าง</t>
        </is>
      </c>
      <c r="J6" s="42" t="inlineStr">
        <is>
          <t>ต่ำ - Nice to have</t>
        </is>
      </c>
      <c r="K6" s="42" t="inlineStr">
        <is>
          <t>เสียง</t>
        </is>
      </c>
      <c r="L6" s="42" t="inlineStr">
        <is>
          <t>ไทย + อังกฤษ</t>
        </is>
      </c>
      <c r="M6" s="42" t="inlineStr">
        <is>
          <t>Batch (นาที - ชั่วโมง)</t>
        </is>
      </c>
      <c r="N6" s="42" t="inlineStr">
        <is>
          <t>24 ชม. x 7 วัน</t>
        </is>
      </c>
      <c r="O6" s="42" t="inlineStr">
        <is>
          <t>1 - 5 MP</t>
        </is>
      </c>
      <c r="P6" s="42" t="inlineStr">
        <is>
          <t>ผสม (ข้อมูลลับอยู่ใน, ที่เหลือออกได้)</t>
        </is>
      </c>
      <c r="Q6" s="42" t="inlineStr">
        <is>
          <t>ต้อง Fine-tune - สอนด้วยข้อมูล/รูปของบริษัทเอง</t>
        </is>
      </c>
      <c r="R6" s="42" t="inlineStr">
        <is>
          <t>10 - 20 ชม./สัปดาห์  (ประมาณ 2 วันทำงาน)</t>
        </is>
      </c>
      <c r="S6" s="42" t="inlineStr">
        <is>
          <t>1 - 5 แสนบาท/ปี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ครั้ง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ยังไม่แน่ใจ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เป็นปัญหา - งานนี้ช้าหรือหยุดไม่ได้เลย (อยู่ในสายการผลิต)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GTK</t>
        </is>
      </c>
      <c r="B7" s="42" t="inlineStr">
        <is>
          <t>รูปภาพ / ภาพถ่าย</t>
        </is>
      </c>
      <c r="C7" s="42" t="inlineStr">
        <is>
          <t>มากกว่า 3 ปี - เพียงพอแน่นอน</t>
        </is>
      </c>
      <c r="E7" s="42" t="inlineStr">
        <is>
          <t>ยังไม่แน่ใจ - ต้องถาม IT ก่อน</t>
        </is>
      </c>
      <c r="I7" s="42" t="inlineStr">
        <is>
          <t>ลับมาก - มีข้อมูลส่วนบุคคล / ผูกกับกฎหมาย PDPA</t>
        </is>
      </c>
      <c r="K7" s="42" t="inlineStr">
        <is>
          <t>วิดีโอ</t>
        </is>
      </c>
      <c r="L7" s="42" t="inlineStr">
        <is>
          <t>ไม่เกี่ยวกับภาษา</t>
        </is>
      </c>
      <c r="O7" s="42" t="inlineStr">
        <is>
          <t>5 - 12 MP</t>
        </is>
      </c>
      <c r="Q7" s="42" t="inlineStr">
        <is>
          <t>ยังไม่แน่ใจ</t>
        </is>
      </c>
      <c r="R7" s="42" t="inlineStr">
        <is>
          <t>20 - 40 ชม./สัปดาห์  (เท่ากับใช้คน 1 คนเต็มเวลา)</t>
        </is>
      </c>
      <c r="S7" s="42" t="inlineStr">
        <is>
          <t>5 แสน - 2 ล้านบาท/ปี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มากกว่า 10,000 ครั้ง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เก็บถาวร - ห้ามลบ (ข้อกำหนดลูกค้า/กฎหมาย)</t>
        </is>
      </c>
      <c r="AC7" s="42" t="inlineStr">
        <is>
          <t>ทุกไตรมาส</t>
        </is>
      </c>
      <c r="AD7" s="42" t="inlineStr">
        <is>
          <t>ยังไม่แน่ใจ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อื่นๆ</t>
        </is>
      </c>
      <c r="B8" s="42" t="inlineStr">
        <is>
          <t>เสียง / วิดีโอ</t>
        </is>
      </c>
      <c r="K8" s="42" t="inlineStr">
        <is>
          <t>ตัวเลข / ตาราง</t>
        </is>
      </c>
      <c r="O8" s="42" t="inlineStr">
        <is>
          <t>มากกว่า 12 MP</t>
        </is>
      </c>
      <c r="R8" s="42" t="inlineStr">
        <is>
          <t>มากกว่า 40 ชม./สัปดาห์  (มากกว่า 1 คนเต็มเวลา)</t>
        </is>
      </c>
      <c r="S8" s="42" t="inlineStr">
        <is>
          <t>มากกว่า 2 ล้านบาท/ปี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</t>
        </is>
      </c>
    </row>
    <row r="9">
      <c r="B9" s="42" t="inlineStr">
        <is>
          <t>ยังไม่มีข้อมูลเก็บไว้ - ต้องเริ่มเก็บใหม่</t>
        </is>
      </c>
      <c r="K9" s="42" t="inlineStr">
        <is>
          <t>ผสมหลายแบบ</t>
        </is>
      </c>
      <c r="AC9" s="42" t="inlineStr">
        <is>
          <t>ยังไม่แน่ใจ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แปลว่าไม่นำมาคิดคะแนน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ตอนนี้ข้อมูลเก็บอยู่ในรูปแบบไหน</t>
        </is>
      </c>
      <c r="C29" s="40" t="inlineStr">
        <is>
          <t>มีข้อมูลย้อนหลังนานแค่ไหน</t>
        </is>
      </c>
      <c r="D29" s="40" t="inlineStr">
        <is>
          <t>สิทธิ์นำข้อมูลมาใช้</t>
        </is>
      </c>
      <c r="E29" s="40" t="inlineStr">
        <is>
          <t>ต้องเชื่อมต่อกับระบบไอทีเดิมมั้ย</t>
        </is>
      </c>
      <c r="F29" s="40" t="inlineStr">
        <is>
          <t>มีคนดูแลระบบต่อหลังส่งมอบมั้ย</t>
        </is>
      </c>
      <c r="G29" s="40" t="inlineStr">
        <is>
          <t>ถ้า AI ตอบผิด จะเกิดอะไรขึ้น</t>
        </is>
      </c>
      <c r="H29" s="40" t="inlineStr">
        <is>
          <t>ต้องให้คนตรวจงานที่ AI ทำซ้ำมั้ย</t>
        </is>
      </c>
      <c r="I29" s="40" t="inlineStr">
        <is>
          <t>ข้อมูลชุดนี้ลับแค่ไหน</t>
        </is>
      </c>
      <c r="J29" s="40" t="inlineStr">
        <is>
          <t>ความสำคัญที่แผนกอยากได้</t>
        </is>
      </c>
      <c r="K29" s="40" t="inlineStr">
        <is>
          <t>ประเภทข้อมูล Input</t>
        </is>
      </c>
      <c r="L29" s="40" t="inlineStr">
        <is>
          <t>ภาษาที่ต้องการ</t>
        </is>
      </c>
      <c r="M29" s="40" t="inlineStr">
        <is>
          <t>Latency ที่รับได้</t>
        </is>
      </c>
      <c r="N29" s="40" t="inlineStr">
        <is>
          <t>Availability</t>
        </is>
      </c>
      <c r="O29" s="40" t="inlineStr">
        <is>
          <t>ความละเอียดรูป</t>
        </is>
      </c>
      <c r="P29" s="40" t="inlineStr">
        <is>
          <t>ที่ตั้งระบบ</t>
        </is>
      </c>
      <c r="Q29" s="40" t="inlineStr">
        <is>
          <t>ต้องสอนโมเดลด้วยข้อมูลบริษัทมั้ย</t>
        </is>
      </c>
      <c r="R29" s="40" t="inlineStr">
        <is>
          <t>เวลาที่ใช้กับงานนี้ตอนนี้</t>
        </is>
      </c>
      <c r="S29" s="40" t="inlineStr">
        <is>
          <t>มูลค่าความเสียหาย/ของเสียต่อปี</t>
        </is>
      </c>
      <c r="T29" s="40" t="inlineStr">
        <is>
          <t>จำนวน Users/วัน</t>
        </is>
      </c>
      <c r="U29" s="40" t="inlineStr">
        <is>
          <t>Peak concurrent (คนพร้อมกัน)</t>
        </is>
      </c>
      <c r="V29" s="40" t="inlineStr">
        <is>
          <t>Requests/วัน</t>
        </is>
      </c>
      <c r="W29" s="40" t="inlineStr">
        <is>
          <t>ขนาดข้อมูล Input/วัน</t>
        </is>
      </c>
      <c r="X29" s="40" t="inlineStr">
        <is>
          <t>ขนาดคลังเอกสารทั้งหมด (RAG)</t>
        </is>
      </c>
      <c r="Y29" s="40" t="inlineStr">
        <is>
          <t>จำนวนกล้อง/จุดตรวจพร้อมกัน</t>
        </is>
      </c>
      <c r="Z29" s="40" t="inlineStr">
        <is>
          <t>ติดตั้งแบบไหน</t>
        </is>
      </c>
      <c r="AB29" s="40" t="inlineStr">
        <is>
          <t>ต้องเก็บข้อมูลย้อนหลังกี่ปี</t>
        </is>
      </c>
      <c r="AC29" s="40" t="inlineStr">
        <is>
          <t>ต้องเทรนโมเดลใหม่บ่อยแค่ไหน</t>
        </is>
      </c>
      <c r="AD29" s="40" t="inlineStr">
        <is>
          <t>ถ้างานนี้ช้าลงจะเป็นปัญหามั้ย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P30" s="45" t="inlineStr">
        <is>
          <t>-</t>
        </is>
      </c>
      <c r="Q30" s="45" t="inlineStr">
        <is>
          <t>-</t>
        </is>
      </c>
      <c r="R30" s="46" t="n">
        <v>1</v>
      </c>
      <c r="S30" s="45" t="inlineStr">
        <is>
          <t>-</t>
        </is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P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P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2026-09-22T04:46:44Z</dcterms:created>
  <dcterms:modified xmlns:dcterms="http://purl.org/dc/terms/" xmlns:xsi="http://www.w3.org/2001/XMLSchema-instance" xsi:type="dcterms:W3CDTF">2026-09-22T04:46:44Z</dcterms:modified>
</cp:coreProperties>
</file>