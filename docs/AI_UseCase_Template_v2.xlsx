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คู่มือการใช้งาน" sheetId="1" state="visible" r:id="rId1"/>
    <sheet xmlns:r="http://schemas.openxmlformats.org/officeDocument/2006/relationships" name="1-UseCase ทั้งหมด" sheetId="2" state="visible" r:id="rId2"/>
    <sheet xmlns:r="http://schemas.openxmlformats.org/officeDocument/2006/relationships" name="2-รายละเอียดเทคนิค" sheetId="3" state="visible" r:id="rId3"/>
    <sheet xmlns:r="http://schemas.openxmlformats.org/officeDocument/2006/relationships" name="3-คะแนนและลำดับ" sheetId="4" state="visible" r:id="rId4"/>
    <sheet xmlns:r="http://schemas.openxmlformats.org/officeDocument/2006/relationships" name="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3">
    <font>
      <name val="Calibri"/>
      <family val="2"/>
      <color theme="1"/>
      <sz val="11"/>
      <scheme val="minor"/>
    </font>
    <font>
      <name val="Tahoma"/>
      <b val="1"/>
      <color rgb="00C00000"/>
      <sz val="11"/>
    </font>
    <font>
      <name val="Tahoma"/>
      <b val="1"/>
      <sz val="9"/>
    </font>
    <font>
      <name val="Tahoma"/>
      <sz val="9"/>
    </font>
    <font>
      <name val="Tahoma"/>
      <b val="1"/>
      <color rgb="000000FF"/>
      <sz val="10"/>
    </font>
    <font>
      <name val="Tahoma"/>
      <b val="1"/>
      <color rgb="00FFFFFF"/>
      <sz val="14"/>
    </font>
    <font>
      <name val="Tahoma"/>
      <b val="1"/>
      <color rgb="00C00000"/>
      <sz val="9"/>
    </font>
    <font>
      <name val="Tahoma"/>
      <b val="1"/>
      <color rgb="00FFFFFF"/>
      <sz val="10"/>
    </font>
    <font>
      <name val="Tahoma"/>
      <i val="1"/>
      <color rgb="00808080"/>
      <sz val="9"/>
    </font>
    <font>
      <name val="Tahoma"/>
      <color rgb="00008000"/>
      <sz val="9"/>
    </font>
    <font>
      <name val="Tahoma"/>
      <i val="1"/>
      <color rgb="00008000"/>
      <sz val="9"/>
    </font>
    <font>
      <name val="Tahoma"/>
      <b val="1"/>
      <i val="1"/>
      <color rgb="00808080"/>
      <sz val="9"/>
    </font>
    <font>
      <name val="Tahoma"/>
      <b val="1"/>
      <sz val="11"/>
    </font>
  </fonts>
  <fills count="1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0F6E6E"/>
      </patternFill>
    </fill>
    <fill>
      <patternFill patternType="solid">
        <fgColor rgb="00C55A11"/>
      </patternFill>
    </fill>
    <fill>
      <patternFill patternType="solid">
        <fgColor rgb="00538135"/>
      </patternFill>
    </fill>
    <fill>
      <patternFill patternType="solid">
        <fgColor rgb="007030A0"/>
      </patternFill>
    </fill>
    <fill>
      <patternFill patternType="solid">
        <fgColor rgb="00BF3131"/>
      </patternFill>
    </fill>
    <fill>
      <patternFill patternType="solid">
        <fgColor rgb="00595959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EEBF7"/>
      </patternFill>
    </fill>
    <fill>
      <patternFill patternType="solid">
        <fgColor rgb="00EDF4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5" fillId="3" borderId="0" applyAlignment="1" pivotButton="0" quotePrefix="0" xfId="0">
      <alignment horizontal="center" vertical="center" wrapText="1"/>
    </xf>
    <xf numFmtId="0" fontId="12" fillId="11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center" wrapText="1"/>
    </xf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7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7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7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7" fillId="8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7" fillId="9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7" fillId="10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2" fillId="11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vertical="top" wrapText="1"/>
    </xf>
    <xf numFmtId="0" fontId="3" fillId="13" borderId="1" applyAlignment="1" pivotButton="0" quotePrefix="0" xfId="0">
      <alignment vertical="top" wrapText="1"/>
    </xf>
    <xf numFmtId="0" fontId="10" fillId="14" borderId="1" applyAlignment="1" pivotButton="0" quotePrefix="0" xfId="0">
      <alignment vertical="top" wrapText="1"/>
    </xf>
    <xf numFmtId="0" fontId="8" fillId="16" borderId="1" applyAlignment="1" pivotButton="0" quotePrefix="0" xfId="0">
      <alignment vertical="top" wrapText="1"/>
    </xf>
    <xf numFmtId="0" fontId="9" fillId="14" borderId="1" applyAlignment="1" pivotButton="0" quotePrefix="0" xfId="0">
      <alignment vertical="top" wrapText="1"/>
    </xf>
    <xf numFmtId="0" fontId="3" fillId="15" borderId="1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12" borderId="1" pivotButton="0" quotePrefix="0" xfId="0"/>
    <xf numFmtId="0" fontId="8" fillId="12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center" vertical="center"/>
    </xf>
    <xf numFmtId="164" fontId="11" fillId="12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  <xf numFmtId="164" fontId="2" fillId="14" borderId="1" applyAlignment="1" pivotButton="0" quotePrefix="0" xfId="0">
      <alignment horizontal="center" vertical="center"/>
    </xf>
    <xf numFmtId="0" fontId="12" fillId="11" borderId="0" pivotButton="0" quotePrefix="0" xfId="0"/>
    <xf numFmtId="0" fontId="3" fillId="0" borderId="0" applyAlignment="1" pivotButton="0" quotePrefix="0" xfId="0">
      <alignment vertical="center"/>
    </xf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9" fontId="4" fillId="0" borderId="0" pivotButton="0" quotePrefix="0" xfId="0"/>
    <xf numFmtId="0" fontId="4" fillId="0" borderId="0" pivotButton="0" quotePrefix="0" xfId="0"/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name val="Tahoma"/>
        <b val="1"/>
        <color rgb="FF9C0006"/>
        <sz val="9"/>
      </font>
      <fill>
        <patternFill>
          <bgColor rgb="FFFFC7CE"/>
        </patternFill>
      </fill>
    </dxf>
    <dxf>
      <font>
        <name val="Tahoma"/>
        <b val="1"/>
        <color rgb="FF006100"/>
        <sz val="9"/>
      </font>
      <fill>
        <patternFill>
          <bgColor rgb="FFC6EFCE"/>
        </patternFill>
      </fill>
    </dxf>
    <dxf>
      <font>
        <name val="Tahoma"/>
        <b val="1"/>
        <color rgb="FF9C5700"/>
        <sz val="9"/>
      </font>
      <fill>
        <patternFill>
          <bgColor rgb="FFFFEB9C"/>
        </patternFill>
      </fill>
    </dxf>
    <dxf>
      <font>
        <name val="Tahoma"/>
        <color rgb="FF808080"/>
        <sz val="9"/>
      </font>
      <fill>
        <patternFill>
          <bgColor rgb="FF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86" customWidth="1" min="3" max="3"/>
  </cols>
  <sheetData>
    <row r="2" ht="30" customHeight="1">
      <c r="B2" s="1" t="inlineStr">
        <is>
          <t>คู่มือการกรอก AI Use Case Template (v2)</t>
        </is>
      </c>
    </row>
    <row r="4" ht="24" customHeight="1">
      <c r="B4" s="2" t="inlineStr">
        <is>
          <t>โครงสร้างไฟล์</t>
        </is>
      </c>
    </row>
    <row r="5" ht="32" customHeight="1">
      <c r="B5" s="3" t="inlineStr">
        <is>
          <t>1-UseCase ทั้งหมด</t>
        </is>
      </c>
      <c r="C5" s="4" t="inlineStr">
        <is>
          <t>แผนกกรอกเอง — ข้อมูลพื้นฐานและข้อมูลที่ใช้คำนวณคะแนน (กรอกทุก Use Case)</t>
        </is>
      </c>
    </row>
    <row r="6" ht="48" customHeight="1">
      <c r="B6" s="3" t="inlineStr">
        <is>
          <t>2-รายละเอียดเทคนิค</t>
        </is>
      </c>
      <c r="C6" s="4" t="inlineStr">
        <is>
          <t>แผนกกรอกเอง — ข้อมูลเชิงเทคนิคสำหรับกำหนด Spec Hardware (กรอกทุก Use Case) ช่องชื่อ/แผนกระบบดึงมาจากชั้นที่ 1 ให้อัตโนมัติ</t>
        </is>
      </c>
    </row>
    <row r="7" ht="48" customHeight="1">
      <c r="B7" s="3" t="inlineStr">
        <is>
          <t>3-คะแนนและลำดับ</t>
        </is>
      </c>
      <c r="C7" s="4" t="inlineStr">
        <is>
          <t>ระบบคำนวณให้อัตโนมัติ — ไม่ต้องกรอกอะไรเลย ดูอย่างเดียว บอกว่าแต่ละ Use Case ได้กี่คะแนน อยู่ระดับไหน อันดับที่เท่าไหร่</t>
        </is>
      </c>
    </row>
    <row r="8" ht="32" customHeight="1">
      <c r="B8" s="3" t="inlineStr">
        <is>
          <t>DATA</t>
        </is>
      </c>
      <c r="C8" s="4" t="inlineStr">
        <is>
          <t>รายการตัวเลือก Dropdown + ตารางแปลงตัวเลือกเป็นคะแนน + น้ำหนักและเกณฑ์ (ปรับได้)</t>
        </is>
      </c>
    </row>
    <row r="9" ht="24" customHeight="1">
      <c r="B9" s="2" t="inlineStr">
        <is>
          <t>ขั้นตอนการใช้งาน</t>
        </is>
      </c>
    </row>
    <row r="10" ht="32" customHeight="1">
      <c r="B10" s="3" t="inlineStr">
        <is>
          <t>ขั้นที่ 1</t>
        </is>
      </c>
      <c r="C10" s="4" t="inlineStr">
        <is>
          <t>แต่ละแผนกกรอก sheet '1-UseCase ทั้งหมด' ให้ครบทุก Use Case ที่อยากได้</t>
        </is>
      </c>
    </row>
    <row r="11" ht="32" customHeight="1">
      <c r="B11" s="3" t="inlineStr">
        <is>
          <t>ขั้นที่ 2</t>
        </is>
      </c>
      <c r="C11" s="4" t="inlineStr">
        <is>
          <t>กรอก sheet '2-รายละเอียดเทคนิค' ต่อ โดยดูชื่อ Use Case ที่ระบบดึงมาให้แล้ว</t>
        </is>
      </c>
    </row>
    <row r="12" ht="32" customHeight="1">
      <c r="B12" s="3" t="inlineStr">
        <is>
          <t>ขั้นที่ 3</t>
        </is>
      </c>
      <c r="C12" s="4" t="inlineStr">
        <is>
          <t>เปิด sheet '3-คะแนนและลำดับ' ดูผล — ระบบจัดอันดับให้ทันทีโดยไม่ต้องกด</t>
        </is>
      </c>
    </row>
    <row r="13" ht="48" customHeight="1">
      <c r="B13" s="3" t="inlineStr">
        <is>
          <t>ขั้นที่ 4</t>
        </is>
      </c>
      <c r="C13" s="4" t="inlineStr">
        <is>
          <t>นำไฟล์เข้าระบบ AI Use Case Tool เพื่อให้ AI ทบทวนคะแนนอีกชั้น และวิเคราะห์ Spec Hardware / ประมาณราคา Server ของ Use Case อันดับต้นๆ</t>
        </is>
      </c>
    </row>
    <row r="14" ht="24" customHeight="1">
      <c r="B14" s="2" t="inlineStr">
        <is>
          <t>กติกาการกรอก</t>
        </is>
      </c>
    </row>
    <row r="15" ht="32" customHeight="1">
      <c r="B15" s="3" t="inlineStr">
        <is>
          <t>ช่องสีเหลือง</t>
        </is>
      </c>
      <c r="C15" s="4" t="inlineStr">
        <is>
          <t>ช่องที่ต้องกรอกเอง</t>
        </is>
      </c>
    </row>
    <row r="16" ht="32" customHeight="1">
      <c r="B16" s="3" t="inlineStr">
        <is>
          <t>ช่องสีเขียวอ่อน</t>
        </is>
      </c>
      <c r="C16" s="4" t="inlineStr">
        <is>
          <t>ระบบเติมให้อัตโนมัติ ห้ามพิมพ์ทับ (ถ้าพิมพ์ทับ สูตรจะหายและข้อมูลจะไม่ตรงกัน)</t>
        </is>
      </c>
    </row>
    <row r="17" ht="32" customHeight="1">
      <c r="B17" s="3" t="inlineStr">
        <is>
          <t>แถวสีเทา (แถวที่ 6)</t>
        </is>
      </c>
      <c r="C17" s="4" t="inlineStr">
        <is>
          <t>แถวตัวอย่าง อย่าลบทิ้ง ใช้ดูว่าควรกรอกละเอียดแค่ไหน (เป็นตัวเลขสมมติ)</t>
        </is>
      </c>
    </row>
    <row r="18" ht="32" customHeight="1">
      <c r="B18" s="3" t="inlineStr">
        <is>
          <t>ช่องที่มีลูกศร</t>
        </is>
      </c>
      <c r="C18" s="4" t="inlineStr">
        <is>
          <t>ต้องเลือกจากรายการเท่านั้น ห้ามพิมพ์เอง เพราะระบบอ่านค่าไปแปลงเป็นคะแนน</t>
        </is>
      </c>
    </row>
    <row r="19" ht="32" customHeight="1">
      <c r="B19" s="3" t="inlineStr">
        <is>
          <t>ไม่รู้คำตอบทำยังไง</t>
        </is>
      </c>
      <c r="C19" s="4" t="inlineStr">
        <is>
          <t>เลือก 'ยังไม่แน่ใจ' ดีกว่าเดาตัวเลขมั่ว เพราะตัวเลขที่เดาจะทำให้คะแนนผิดทั้งระบบ</t>
        </is>
      </c>
    </row>
    <row r="20" ht="32" customHeight="1">
      <c r="B20" s="3" t="inlineStr">
        <is>
          <t>กรอกได้กี่ Use Case</t>
        </is>
      </c>
      <c r="C20" s="4" t="inlineStr">
        <is>
          <t>แถวที่ 7 ถึง 36 (30 Use Case) ถ้าต้องการมากกว่านี้ให้แจ้งส่วนกลาง</t>
        </is>
      </c>
    </row>
    <row r="21" ht="48" customHeight="1">
      <c r="B21" s="3" t="inlineStr">
        <is>
          <t>สถานที่ตั้ง (คอลัมน์ AA)</t>
        </is>
      </c>
      <c r="C21" s="4" t="inlineStr">
        <is>
          <t>บริษัทเดียวมีหลายที่ตั้งได้ — ที่ตั้งคนละที่ถือว่าใช้ Server คนละเครื่อง ไม่มี Server กลางข้ามที่ตั้ง จึงต้องพิมพ์ชื่อที่ตั้งให้เหมือนกันทุกครั้ง (ไม่ได้คิดคะแนน) ที่ตั้งเดียวเว้นว่างได้</t>
        </is>
      </c>
    </row>
    <row r="22" ht="24" customHeight="1">
      <c r="B22" s="2" t="inlineStr">
        <is>
          <t>คอลัมน์ที่ตรงกับ Excel Template เดิม (ยกมาครบ ไม่ได้ตัดทิ้ง)</t>
        </is>
      </c>
    </row>
    <row r="23" ht="32" customHeight="1">
      <c r="B23" s="3" t="inlineStr">
        <is>
          <t>Existing Work</t>
        </is>
      </c>
      <c r="C23" s="4" t="inlineStr">
        <is>
          <t>-&gt; คอลัมน์ G 'วิธีการทำงานปัจจุบัน' ในชั้นที่ 1</t>
        </is>
      </c>
    </row>
    <row r="24" ht="32" customHeight="1">
      <c r="B24" s="3" t="inlineStr">
        <is>
          <t>Description for Redesign</t>
        </is>
      </c>
      <c r="C24" s="4" t="inlineStr">
        <is>
          <t>-&gt; คอลัมน์ H 'แนวทางหลังนำ AI มาใช้' ในชั้นที่ 1</t>
        </is>
      </c>
    </row>
    <row r="25" ht="32" customHeight="1">
      <c r="B25" s="3" t="inlineStr">
        <is>
          <t>Data Available from &amp; by …</t>
        </is>
      </c>
      <c r="C25" s="4" t="inlineStr">
        <is>
          <t>-&gt; คอลัมน์ K 'ข้อมูลที่มีอยู่ตอนนี้' ในชั้นที่ 1</t>
        </is>
      </c>
    </row>
    <row r="26" ht="32" customHeight="1">
      <c r="B26" s="3" t="inlineStr">
        <is>
          <t>ปัญหาที่ต้องการแก้ / Output ที่คาดหวัง (แบบ GSK)</t>
        </is>
      </c>
      <c r="C26" s="4" t="inlineStr">
        <is>
          <t>-&gt; คอลัมน์ F และ H ในชั้นที่ 1</t>
        </is>
      </c>
    </row>
    <row r="27" ht="48" customHeight="1">
      <c r="B27" s="3" t="inlineStr">
        <is>
          <t>ข้อมูลเชิงปริมาณ + ความต้องการเชิงเทคนิค (แบบ GSK)</t>
        </is>
      </c>
      <c r="C27" s="4" t="inlineStr">
        <is>
          <t>-&gt; ย้ายไปอยู่ชั้นที่ 2 ทั้งหมด พร้อมเพิ่มที่ขาด เช่น Peak concurrent, ประเภทข้อมูล Input, ขนาดคลังเอกสาร, ความต้องการ Fine-tune</t>
        </is>
      </c>
    </row>
    <row r="28" ht="24" customHeight="1">
      <c r="B28" s="2" t="inlineStr">
        <is>
          <t>ข้อมูลแต่ละกลุ่มถูกนำไปใช้ทำอะไร</t>
        </is>
      </c>
    </row>
    <row r="29" ht="32" customHeight="1">
      <c r="B29" s="3" t="inlineStr">
        <is>
          <t>ผลกระทบ (สีส้ม)</t>
        </is>
      </c>
      <c r="C29" s="4" t="inlineStr">
        <is>
          <t>ชั่วโมง/สัปดาห์ + มูลค่าความเสียหาย -&gt; คะแนน Impact (น้ำหนัก 35%)</t>
        </is>
      </c>
    </row>
    <row r="30" ht="32" customHeight="1">
      <c r="B30" s="3" t="inlineStr">
        <is>
          <t>ความพร้อมข้อมูล (สีเขียว)</t>
        </is>
      </c>
      <c r="C30" s="4" t="inlineStr">
        <is>
          <t>รูปแบบ + ย้อนหลัง + สิทธิ์ใช้ข้อมูล -&gt; คะแนน Data (น้ำหนัก 25%)</t>
        </is>
      </c>
    </row>
    <row r="31" ht="32" customHeight="1">
      <c r="B31" s="3" t="inlineStr">
        <is>
          <t>ความเป็นไปได้ (สีม่วง)</t>
        </is>
      </c>
      <c r="C31" s="4" t="inlineStr">
        <is>
          <t>ระบบเดิมที่ต้องเชื่อม + คนดูแลต่อ -&gt; คะแนน Feasibility (น้ำหนัก 25%)</t>
        </is>
      </c>
    </row>
    <row r="32" ht="32" customHeight="1">
      <c r="B32" s="3" t="inlineStr">
        <is>
          <t>ความเสี่ยง (สีแดง)</t>
        </is>
      </c>
      <c r="C32" s="4" t="inlineStr">
        <is>
          <t>ผลถ้า AI ผิด + การตรวจซ้ำ + ความลับข้อมูล -&gt; คะแนน Risk (น้ำหนัก 15% กลับด้าน)</t>
        </is>
      </c>
    </row>
    <row r="33" ht="48" customHeight="1">
      <c r="B33" s="3" t="inlineStr">
        <is>
          <t>ชั้นที่ 2 ทั้งหมด</t>
        </is>
      </c>
      <c r="C33" s="4" t="inlineStr">
        <is>
          <t>ใช้กำหนด Spec Hardware : Latency + ประเภทข้อมูล -&gt; ตัดสินว่าต้องใช้ GPU หรือ CPU  |  Peak concurrent + Requests -&gt; ตัดสินขนาดเครื่อง  |  ระดับความลับ -&gt; มาตรการเข้ารหัส/จำกัดสิทธิ์ (ทุกงานรันบน On-premise ไม่ใช้ Cloud)</t>
        </is>
      </c>
    </row>
    <row r="35">
      <c r="B35" s="5" t="inlineStr">
        <is>
          <t>หมายเหตุ : ข้อมูลในแถวตัวอย่าง (แถวสีเทา) เป็นตัวเลขสมมติเพื่อแสดงรูปแบบการกรอกเท่านั้น ไม่ใช่ข้อมูลจริงของบริษัท</t>
        </is>
      </c>
    </row>
  </sheetData>
  <mergeCells count="7">
    <mergeCell ref="B2:C2"/>
    <mergeCell ref="B28:C28"/>
    <mergeCell ref="B22:C22"/>
    <mergeCell ref="B14:C14"/>
    <mergeCell ref="B9:C9"/>
    <mergeCell ref="B35:C35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2" customWidth="1" min="2" max="2"/>
    <col width="32" customWidth="1" min="3" max="3"/>
    <col width="18" customWidth="1" min="4" max="4"/>
    <col width="18" customWidth="1" min="5" max="5"/>
    <col width="30" customWidth="1" min="6" max="6"/>
    <col width="28" customWidth="1" min="7" max="7"/>
    <col width="32" customWidth="1" min="8" max="8"/>
    <col width="40" customWidth="1" min="9" max="9"/>
    <col width="40" customWidth="1" min="10" max="10"/>
    <col width="40" customWidth="1" min="11" max="11"/>
    <col width="40" customWidth="1" min="12" max="12"/>
    <col width="38" customWidth="1" min="13" max="13"/>
    <col width="40" customWidth="1" min="14" max="14"/>
    <col width="40" customWidth="1" min="15" max="15"/>
    <col width="34" customWidth="1" min="16" max="16"/>
    <col width="40" customWidth="1" min="17" max="17"/>
    <col width="40" customWidth="1" min="18" max="18"/>
    <col width="42" customWidth="1" min="19" max="19"/>
    <col width="34" customWidth="1" min="20" max="20"/>
    <col width="42" customWidth="1" min="21" max="21"/>
    <col width="40" customWidth="1" min="22" max="22"/>
    <col width="36" customWidth="1" min="23" max="23"/>
    <col width="30" customWidth="1" min="24" max="24"/>
    <col width="20" customWidth="1" min="25" max="25"/>
    <col width="26" customWidth="1" min="26" max="26"/>
    <col width="30" customWidth="1" min="27" max="27"/>
  </cols>
  <sheetData>
    <row r="1" ht="28" customHeight="1">
      <c r="A1" s="1" t="inlineStr">
        <is>
          <t>ชั้นที่ 1 : เก็บ Use Case ทั้งหมด   (ทุก Use Case ต้องกรอก — ระบบใช้ข้อมูลนี้คำนวณคะแนนใน sheet '3-คะแนนและลำดับ')</t>
        </is>
      </c>
    </row>
    <row r="2" ht="22" customHeight="1">
      <c r="A2" s="6" t="inlineStr">
        <is>
          <t>วิธีกรอก : กรอกเฉพาะช่องสีเหลืองตั้งแต่แถวที่ 7 ลงไป  |  แถวสีเทา (แถวที่ 6) คือตัวอย่าง อย่าลบ  |  ช่องที่มีลูกศรต้องเลือกจากรายการเท่านั้น เพราะระบบอ่านค่าไปแปลงเป็นคะแนน</t>
        </is>
      </c>
    </row>
    <row r="4" ht="20" customHeight="1">
      <c r="A4" s="7" t="inlineStr">
        <is>
          <t>ข้อมูลพื้นฐาน</t>
        </is>
      </c>
      <c r="B4" s="8" t="n"/>
      <c r="C4" s="8" t="n"/>
      <c r="D4" s="8" t="n"/>
      <c r="E4" s="8" t="n"/>
      <c r="F4" s="9" t="inlineStr">
        <is>
          <t>อ้างอิงระบบคุณภาพ (QWP / SQP)</t>
        </is>
      </c>
      <c r="G4" s="10" t="n"/>
      <c r="H4" s="10" t="n"/>
      <c r="I4" s="11" t="inlineStr">
        <is>
          <t>ผลกระทบ (Impact)</t>
        </is>
      </c>
      <c r="J4" s="12" t="n"/>
      <c r="K4" s="12" t="n"/>
      <c r="L4" s="12" t="n"/>
      <c r="M4" s="12" t="n"/>
      <c r="N4" s="13" t="inlineStr">
        <is>
          <t>ความพร้อมข้อมูล (Data)</t>
        </is>
      </c>
      <c r="O4" s="14" t="n"/>
      <c r="P4" s="14" t="n"/>
      <c r="Q4" s="14" t="n"/>
      <c r="R4" s="14" t="n"/>
      <c r="S4" s="15" t="inlineStr">
        <is>
          <t>ความเป็นไปได้ (Feasibility)</t>
        </is>
      </c>
      <c r="T4" s="16" t="n"/>
      <c r="U4" s="17" t="inlineStr">
        <is>
          <t>ความเสี่ยง (Risk)</t>
        </is>
      </c>
      <c r="V4" s="18" t="n"/>
      <c r="W4" s="18" t="n"/>
      <c r="X4" s="19" t="inlineStr">
        <is>
          <t>แผน</t>
        </is>
      </c>
      <c r="Y4" s="20" t="n"/>
      <c r="Z4" s="20" t="n"/>
      <c r="AA4" s="7" t="inlineStr">
        <is>
          <t>สถานที่ตั้ง</t>
        </is>
      </c>
    </row>
    <row r="5" ht="48" customHeight="1">
      <c r="A5" s="21" t="inlineStr">
        <is>
          <t>ลำดับ</t>
        </is>
      </c>
      <c r="B5" s="21" t="inlineStr">
        <is>
          <t>ชื่อ Use Case</t>
        </is>
      </c>
      <c r="C5" s="21" t="inlineStr">
        <is>
          <t>บริษัท</t>
        </is>
      </c>
      <c r="D5" s="21" t="inlineStr">
        <is>
          <t>หน่วยงานที่ใช้งาน</t>
        </is>
      </c>
      <c r="E5" s="21" t="inlineStr">
        <is>
          <t>ผู้รับผิดชอบ (Owner)</t>
        </is>
      </c>
      <c r="F5" s="21" t="inlineStr">
        <is>
          <t>เอกสาร QWP ที่อ้างอิง
(รหัส / ชื่อเอกสาร)</t>
        </is>
      </c>
      <c r="G5" s="21" t="inlineStr">
        <is>
          <t>ตัวชี้วัด kQI / QI ที่เกี่ยวข้อง</t>
        </is>
      </c>
      <c r="H5" s="21" t="inlineStr">
        <is>
          <t>ขั้นตอนใน SQP ที่เกี่ยวข้อง</t>
        </is>
      </c>
      <c r="I5" s="21" t="inlineStr">
        <is>
          <t>ปัญหาหรือข้อจำกัดของงานในปัจจุบัน</t>
        </is>
      </c>
      <c r="J5" s="21" t="inlineStr">
        <is>
          <t>วิธีการปฏิบัติงานในปัจจุบัน
(Existing Work)</t>
        </is>
      </c>
      <c r="K5" s="21" t="inlineStr">
        <is>
          <t>แนวทางการทำงานหลังนำ AI มาใช้
(Description for Redesign)</t>
        </is>
      </c>
      <c r="L5" s="21" t="inlineStr">
        <is>
          <t>ปริมาณเวลาที่ใช้กับงานนี้ในปัจจุบัน
(รวมทุกคนในหน่วยงาน)</t>
        </is>
      </c>
      <c r="M5" s="21" t="inlineStr">
        <is>
          <t>มูลค่าความสูญเสียต่อปี
(ของเสีย เคลม งานแก้ไข ค่าปรับ)</t>
        </is>
      </c>
      <c r="N5" s="21" t="inlineStr">
        <is>
          <t>ข้อมูลที่มีอยู่ในปัจจุบัน
(Data Available)</t>
        </is>
      </c>
      <c r="O5" s="21" t="inlineStr">
        <is>
          <t>รูปแบบการจัดเก็บข้อมูลในปัจจุบัน</t>
        </is>
      </c>
      <c r="P5" s="21" t="inlineStr">
        <is>
          <t>ระยะเวลาข้อมูลย้อนหลังที่มี</t>
        </is>
      </c>
      <c r="Q5" s="21" t="inlineStr">
        <is>
          <t>ปริมาณข้อมูลโดยประมาณ
นับเป็นรายการ : ภาพ / ใบ / ไฟล์ / ครั้ง / ล็อต
(เฉพาะข้อมูลที่ทราบผลลัพธ์แล้ว)</t>
        </is>
      </c>
      <c r="R5" s="21" t="inlineStr">
        <is>
          <t>สิทธิ์ในการนำข้อมูลมาใช้พัฒนา AI</t>
        </is>
      </c>
      <c r="S5" s="21" t="inlineStr">
        <is>
          <t>ความจำเป็นในการเชื่อมต่อกับระบบเดิม
(ERP / MES / ระบบที่ใช้งานอยู่)</t>
        </is>
      </c>
      <c r="T5" s="21" t="inlineStr">
        <is>
          <t>ผู้ดูแลระบบหลังส่งมอบ</t>
        </is>
      </c>
      <c r="U5" s="21" t="inlineStr">
        <is>
          <t>ผลกระทบเมื่อ AI ให้ผลลัพธ์ผิดพลาด</t>
        </is>
      </c>
      <c r="V5" s="21" t="inlineStr">
        <is>
          <t>ความจำเป็นในการตรวจสอบผลลัพธ์โดยบุคลากร</t>
        </is>
      </c>
      <c r="W5" s="21" t="inlineStr">
        <is>
          <t>ระดับชั้นความลับของข้อมูล</t>
        </is>
      </c>
      <c r="X5" s="21" t="inlineStr">
        <is>
          <t>ระดับความสำคัญตามความเห็นหน่วยงาน
(ไม่นำไปคิดคะแนน)</t>
        </is>
      </c>
      <c r="Y5" s="21" t="inlineStr">
        <is>
          <t>กำหนดเวลาที่ต้องการใช้งาน
(ไตรมาส / ปี)</t>
        </is>
      </c>
      <c r="Z5" s="21" t="inlineStr">
        <is>
          <t>หมายเหตุ</t>
        </is>
      </c>
      <c r="AA5" s="21" t="inlineStr">
        <is>
          <t>สถานที่ตั้งที่ใช้งาน
(โรงงาน / สาขา)</t>
        </is>
      </c>
    </row>
    <row r="6" ht="58" customHeight="1">
      <c r="A6" s="22" t="n">
        <v>1</v>
      </c>
      <c r="B6" s="22" t="inlineStr">
        <is>
          <t>Auto Inspection ตรวจคุณภาพชิ้นงานด้วย Machine Learning</t>
        </is>
      </c>
      <c r="C6" s="22" t="inlineStr">
        <is>
          <t>S.K.Polymer</t>
        </is>
      </c>
      <c r="D6" s="22" t="inlineStr">
        <is>
          <t>Production</t>
        </is>
      </c>
      <c r="E6" s="22" t="inlineStr">
        <is>
          <t>คุณสมชาย</t>
        </is>
      </c>
      <c r="F6" s="22" t="inlineStr">
        <is>
          <t>QWP-PRD-012 ตรวจสอบคุณภาพชิ้นงานก่อนส่งมอบ</t>
        </is>
      </c>
      <c r="G6" s="22" t="inlineStr">
        <is>
          <t>kQI-2 อัตราของเสียที่หลุดถึงลูกค้า</t>
        </is>
      </c>
      <c r="H6" s="22" t="inlineStr">
        <is>
          <t>ขั้นตอนที่ 4 ตรวจสอบชิ้นงานหลังถอดจากแม่พิมพ์</t>
        </is>
      </c>
      <c r="I6" s="22" t="inlineStr">
        <is>
          <t>พนักงาน QC ตรวจชิ้นงานด้วยสายตา เกิดความล้าในช่วงบ่าย ทำให้ของเสียหลุดถึงลูกค้าเดือนละ 2-3 ครั้ง</t>
        </is>
      </c>
      <c r="J6" s="22" t="inlineStr">
        <is>
          <t>พนักงาน QC 3 คน ผลัดกันตรวจทุกล็อตด้วยสายตา เทียบกับชิ้นงานตัวอย่างมาตรฐาน และบันทึกผลลงแบบฟอร์มกระดาษ</t>
        </is>
      </c>
      <c r="K6" s="22" t="inlineStr">
        <is>
          <t>ติดตั้งกล้องที่สายพาน ให้ AI คัดแยกชิ้นงานดีและเสียอัตโนมัติแบบทันที ชิ้นงานที่ AI ไม่มั่นใจจึงส่งให้บุคลากรตรวจซ้ำ และบันทึกผลเข้าระบบแทนกระดาษ</t>
        </is>
      </c>
      <c r="L6" s="22" t="inlineStr">
        <is>
          <t>มากกว่า 40 ชั่วโมง/สัปดาห์ (มากกว่า 1 คนเต็มเวลา)</t>
        </is>
      </c>
      <c r="M6" s="22" t="inlineStr">
        <is>
          <t>500,000 - 2,000,000 บาท/ปี</t>
        </is>
      </c>
      <c r="N6" s="22" t="inlineStr">
        <is>
          <t>มีภาพถ่ายชิ้นงานดีและเสียจัดเก็บไว้ในโทรศัพท์ของหัวหน้ากะ ประมาณ 2 ปี และแบบฟอร์มบันทึกผลตรวจแบบกระดาษ</t>
        </is>
      </c>
      <c r="O6" s="22" t="inlineStr">
        <is>
          <t>ภาพถ่าย / ไฟล์รูปภาพ</t>
        </is>
      </c>
      <c r="P6" s="22" t="inlineStr">
        <is>
          <t>1 - 3 ปี - เพียงพอในระดับหนึ่ง</t>
        </is>
      </c>
      <c r="Q6" s="22" t="inlineStr">
        <is>
          <t>ประมาณ 4,000 ภาพ (ดี 3,000 / เสีย 1,000)</t>
        </is>
      </c>
      <c r="R6" s="22" t="inlineStr">
        <is>
          <t>ได้ทันที - ข้อมูลอยู่ในความดูแลของหน่วยงาน</t>
        </is>
      </c>
      <c r="S6" s="22" t="inlineStr">
        <is>
          <t>ไม่จำเป็น - ระบบทำงานแยกอิสระได้</t>
        </is>
      </c>
      <c r="T6" s="22" t="inlineStr">
        <is>
          <t>มี - หน่วยงานมีผู้รับผิดชอบดูแลต่อ (ระบุชื่อในหมายเหตุ)</t>
        </is>
      </c>
      <c r="U6" s="22" t="inlineStr">
        <is>
          <t>สูง - ของเสียถึงมือลูกค้า เกิดอันตราย หรือผิดข้อกำหนดกฎหมาย</t>
        </is>
      </c>
      <c r="V6" s="22" t="inlineStr">
        <is>
          <t>สุ่มตรวจบางส่วน - เฉพาะรายการที่ AI ไม่มั่นใจ</t>
        </is>
      </c>
      <c r="W6" s="22" t="inlineStr">
        <is>
          <t>ภายในองค์กร - ห้ามเผยแพร่ออกนอกบริษัท</t>
        </is>
      </c>
      <c r="X6" s="22" t="inlineStr">
        <is>
          <t>สูง - ต้องการเร่งด่วน</t>
        </is>
      </c>
      <c r="Y6" s="22" t="inlineStr">
        <is>
          <t>ไตรมาส 2 ปี 2570</t>
        </is>
      </c>
      <c r="Z6" s="22" t="inlineStr">
        <is>
          <t>คุณสมชายผ่านการอบรม Python มาแล้ว</t>
        </is>
      </c>
      <c r="AA6" s="22" t="inlineStr">
        <is>
          <t>โรงงานระยอง</t>
        </is>
      </c>
    </row>
    <row r="7" ht="40" customHeight="1">
      <c r="A7" s="23" t="n">
        <v>1</v>
      </c>
      <c r="B7" s="23" t="inlineStr">
        <is>
          <t>Auto Inspection ตรวจสอบคุณภาพชิ้นงานด้วย Machine Learning (แยกสินค้าดี/เสีย)</t>
        </is>
      </c>
      <c r="C7" s="23" t="inlineStr">
        <is>
          <t>บริษัท เอส.เค.โพลีเมอร์ จำกัด</t>
        </is>
      </c>
      <c r="D7" s="23" t="inlineStr">
        <is>
          <t>Production (MOLDING)</t>
        </is>
      </c>
      <c r="E7" s="23" t="n"/>
      <c r="F7" s="23" t="inlineStr">
        <is>
          <t>QWP-A07 การวางแผนและควบคุมการผลิต MOLDING</t>
        </is>
      </c>
      <c r="G7" s="23" t="inlineStr">
        <is>
          <t>% สินค้าโอนขึ้นคลัง &gt; 98%
% งานจบตามแผน &gt; 98%
% OEE &gt; 80%</t>
        </is>
      </c>
      <c r="H7" s="23" t="inlineStr">
        <is>
          <t>ขั้นตอนที่ 11 ผลิตและควบคุมติดตามแผนการผลิต › 5 การตรวจสอบคุณภาพชิ้นงาน</t>
        </is>
      </c>
      <c r="I7" s="23" t="n"/>
      <c r="J7" s="23" t="inlineStr">
        <is>
          <t>การตรวจสอบชิ้นงาน ตรวจสอบคุณภาพชิ้นงาน โดย ใช้การตรวจสอบด้วยสายตา</t>
        </is>
      </c>
      <c r="K7" s="23" t="inlineStr">
        <is>
          <t>ใช้เครื่อง Auto Inspection ในการตรวจสอบคุณภาพสินค้า โดยใช้ Machine Learning ในการทำให้เกิดการจดจำ สินค้า ดี และ เสีย เพื่อแยกออกจากกัน</t>
        </is>
      </c>
      <c r="L7" s="23" t="n"/>
      <c r="M7" s="23" t="n"/>
      <c r="N7" s="23" t="inlineStr">
        <is>
          <t>- รุปของสินค้าทั้งานดีและงานเสีย</t>
        </is>
      </c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  <c r="Z7" s="23" t="inlineStr">
        <is>
          <t>แหล่งข้อมูล: ไฟล์ AI Transformation Plan (Prod) E&amp;E.xlsx ชีต Prod (3)</t>
        </is>
      </c>
      <c r="AA7" s="23" t="n"/>
    </row>
    <row r="8" ht="40" customHeight="1">
      <c r="A8" s="23" t="n">
        <v>2</v>
      </c>
      <c r="B8" s="23" t="inlineStr">
        <is>
          <t>AI จัดคนเข้าเครื่องตาม Skill Matrix แทนหัวหน้างาน (AI-Driven Manpower Allocation)</t>
        </is>
      </c>
      <c r="C8" s="23" t="inlineStr">
        <is>
          <t>บริษัท เอส.เค.โพลีเมอร์ จำกัด</t>
        </is>
      </c>
      <c r="D8" s="23" t="inlineStr">
        <is>
          <t>Production (MOLDING)</t>
        </is>
      </c>
      <c r="E8" s="23" t="n"/>
      <c r="F8" s="23" t="inlineStr">
        <is>
          <t>QWP-A07 การวางแผนและควบคุมการผลิต MOLDING</t>
        </is>
      </c>
      <c r="G8" s="23" t="inlineStr">
        <is>
          <t>% สินค้าโอนขึ้นคลัง &gt; 98%
% งานจบตามแผน &gt; 98%
% OEE &gt; 80%</t>
        </is>
      </c>
      <c r="H8" s="23" t="inlineStr">
        <is>
          <t>ขั้นตอนที่ 11 ผลิตและควบคุมติดตามแผนการผลิต › 7 การจัดคนเข้าทำงาน</t>
        </is>
      </c>
      <c r="I8" s="23" t="inlineStr">
        <is>
          <t>ไม่มีการ Optimizations ให้เกิด ประสิทธิภาพสูงสุด</t>
        </is>
      </c>
      <c r="J8" s="23" t="inlineStr">
        <is>
          <t>หัวหน้างาน จะจัดคนแบบ Mannual โดยใช้ข้อมูลการ Fix คน Fix เครื่อง และ ข้อมูล Part Training ที่ผูกไว้ด้วย Excel
และใช้ระบบเตือน หลังจากที่เลือกไปแล้วโดย จะรู้ว่า พนักงานที่จัดไปอยู่ระดับใหน</t>
        </is>
      </c>
      <c r="K8" s="23" t="inlineStr">
        <is>
          <t>ให้ AI จัดคนแทนหัวหน้างานโดย ให้พิจารณาจาก ข้อมูล การ Fix คน Fix เครื่อง , ข้อมูล Part Training , ข้อมูลแผนการผลิตจาก MPS , ข้อมูลการมาทำงาน จาก Payroll
และ และข้อมูล Performance , Good rate ของพนักงานรายคน เพื่อให้การจัดคนมีประสิทธิภาพสูงสุด</t>
        </is>
      </c>
      <c r="L8" s="23" t="n"/>
      <c r="M8" s="23" t="n"/>
      <c r="N8" s="23" t="inlineStr">
        <is>
          <t>- Part Training
- ตาราง Fix คน Fix เครื่อง
- ข้อมูลการมาทำงานจาก Payroll
- ประวัติ ผลงาน ของพนักงาน รายบุคคล</t>
        </is>
      </c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inlineStr">
        <is>
          <t>แหล่งข้อมูล: ไฟล์ AI Transformation Plan (Prod) E&amp;E.xlsx ชีต Prod (3) และชีต Man Alocation 1–3 (Workflow, Data requirement, ทางเลือกการพัฒนา 3 ระดับ)</t>
        </is>
      </c>
      <c r="AA8" s="23" t="n"/>
    </row>
    <row r="9" ht="40" customHeight="1">
      <c r="A9" s="23" t="n">
        <v>3</v>
      </c>
      <c r="B9" s="23" t="inlineStr">
        <is>
          <t>Big Data ปิด LOT การผลิตอัตโนมัติ และวิเคราะห์แนวทางแก้ปัญหาการผลิต (Close Lot Analytics)</t>
        </is>
      </c>
      <c r="C9" s="23" t="inlineStr">
        <is>
          <t>บริษัท เอส.เค.โพลีเมอร์ จำกัด</t>
        </is>
      </c>
      <c r="D9" s="23" t="inlineStr">
        <is>
          <t>Production (MOLDING)</t>
        </is>
      </c>
      <c r="E9" s="23" t="n"/>
      <c r="F9" s="23" t="inlineStr">
        <is>
          <t>QWP-A07 การวางแผนและควบคุมการผลิต MOLDING</t>
        </is>
      </c>
      <c r="G9" s="23" t="inlineStr">
        <is>
          <t>% สินค้าโอนขึ้นคลัง &gt; 98%
% งานจบตามแผน &gt; 98%
% OEE &gt; 80%</t>
        </is>
      </c>
      <c r="H9" s="23" t="inlineStr">
        <is>
          <t>ขั้นตอนที่ 19 Close Lot Meeting › 1 ประชุมสรุปผลการผลิต</t>
        </is>
      </c>
      <c r="I9" s="23" t="n"/>
      <c r="J9" s="23" t="inlineStr">
        <is>
          <t>ประชุมสรุปผลการผลิต โดยจะพิจารณา ผลการผลิตตามหัวข้อเหล่านี้
- % Yeild rate
- % Cost
- ประวัติ NC และCCR
- Last Mold และ Last shot เพื่อประเมินความพร้องของการผลิตในแผนถัดไป</t>
        </is>
      </c>
      <c r="K9" s="23" t="inlineStr">
        <is>
          <t>สร้าง Big Data ให้มีความเชื่อมโยงกัน ทุกข้อมูล และ ให้ มีระบบการประเมิน ปิด Lot แบบ Auto และให้สามารถวิเคราะห์แนวทางการแก้ไขปัญหาที่เกิดขึ้นในการผลิต</t>
        </is>
      </c>
      <c r="L9" s="23" t="n"/>
      <c r="M9" s="23" t="n"/>
      <c r="N9" s="23" t="inlineStr">
        <is>
          <t>- % Yeild rate
- % Cost
- ประวัติ NC และCCR
- ผลการตรวจสอบ Last Mold และ Last shot</t>
        </is>
      </c>
      <c r="O9" s="23" t="n"/>
      <c r="P9" s="23" t="n"/>
      <c r="Q9" s="23" t="n"/>
      <c r="R9" s="23" t="n"/>
      <c r="S9" s="23" t="n"/>
      <c r="T9" s="23" t="n"/>
      <c r="U9" s="23" t="n"/>
      <c r="V9" s="23" t="n"/>
      <c r="W9" s="23" t="n"/>
      <c r="X9" s="23" t="n"/>
      <c r="Y9" s="23" t="n"/>
      <c r="Z9" s="23" t="inlineStr">
        <is>
          <t>แหล่งข้อมูล: ไฟล์ AI Transformation Plan (Prod) E&amp;E.xlsx ชีต Prod (3)</t>
        </is>
      </c>
      <c r="AA9" s="23" t="n"/>
    </row>
    <row r="10" ht="40" customHeight="1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  <c r="T10" s="23" t="n"/>
      <c r="U10" s="23" t="n"/>
      <c r="V10" s="23" t="n"/>
      <c r="W10" s="23" t="n"/>
      <c r="X10" s="23" t="n"/>
      <c r="Y10" s="23" t="n"/>
      <c r="Z10" s="23" t="n"/>
      <c r="AA10" s="23" t="n"/>
    </row>
    <row r="11" ht="40" customHeight="1">
      <c r="A11" s="23" t="n"/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  <c r="AA11" s="23" t="n"/>
    </row>
    <row r="12" ht="40" customHeight="1">
      <c r="A12" s="23" t="n"/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  <c r="S12" s="23" t="n"/>
      <c r="T12" s="23" t="n"/>
      <c r="U12" s="23" t="n"/>
      <c r="V12" s="23" t="n"/>
      <c r="W12" s="23" t="n"/>
      <c r="X12" s="23" t="n"/>
      <c r="Y12" s="23" t="n"/>
      <c r="Z12" s="23" t="n"/>
      <c r="AA12" s="23" t="n"/>
    </row>
    <row r="13" ht="40" customHeight="1">
      <c r="A13" s="23" t="n"/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  <c r="AA13" s="23" t="n"/>
    </row>
    <row r="14" ht="40" customHeight="1">
      <c r="A14" s="23" t="n"/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  <c r="S14" s="23" t="n"/>
      <c r="T14" s="23" t="n"/>
      <c r="U14" s="23" t="n"/>
      <c r="V14" s="23" t="n"/>
      <c r="W14" s="23" t="n"/>
      <c r="X14" s="23" t="n"/>
      <c r="Y14" s="23" t="n"/>
      <c r="Z14" s="23" t="n"/>
      <c r="AA14" s="23" t="n"/>
    </row>
    <row r="15" ht="40" customHeight="1">
      <c r="A15" s="23" t="n"/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  <c r="AA15" s="23" t="n"/>
    </row>
    <row r="16" ht="40" customHeight="1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  <c r="S16" s="23" t="n"/>
      <c r="T16" s="23" t="n"/>
      <c r="U16" s="23" t="n"/>
      <c r="V16" s="23" t="n"/>
      <c r="W16" s="23" t="n"/>
      <c r="X16" s="23" t="n"/>
      <c r="Y16" s="23" t="n"/>
      <c r="Z16" s="23" t="n"/>
      <c r="AA16" s="23" t="n"/>
    </row>
    <row r="17" ht="40" customHeight="1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n"/>
      <c r="Y17" s="23" t="n"/>
      <c r="Z17" s="23" t="n"/>
      <c r="AA17" s="23" t="n"/>
    </row>
    <row r="18" ht="40" customHeight="1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  <c r="S18" s="23" t="n"/>
      <c r="T18" s="23" t="n"/>
      <c r="U18" s="23" t="n"/>
      <c r="V18" s="23" t="n"/>
      <c r="W18" s="23" t="n"/>
      <c r="X18" s="23" t="n"/>
      <c r="Y18" s="23" t="n"/>
      <c r="Z18" s="23" t="n"/>
      <c r="AA18" s="23" t="n"/>
    </row>
    <row r="19" ht="40" customHeight="1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  <c r="S19" s="23" t="n"/>
      <c r="T19" s="23" t="n"/>
      <c r="U19" s="23" t="n"/>
      <c r="V19" s="23" t="n"/>
      <c r="W19" s="23" t="n"/>
      <c r="X19" s="23" t="n"/>
      <c r="Y19" s="23" t="n"/>
      <c r="Z19" s="23" t="n"/>
      <c r="AA19" s="23" t="n"/>
    </row>
    <row r="20" ht="40" customHeight="1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  <c r="S20" s="23" t="n"/>
      <c r="T20" s="23" t="n"/>
      <c r="U20" s="23" t="n"/>
      <c r="V20" s="23" t="n"/>
      <c r="W20" s="23" t="n"/>
      <c r="X20" s="23" t="n"/>
      <c r="Y20" s="23" t="n"/>
      <c r="Z20" s="23" t="n"/>
      <c r="AA20" s="23" t="n"/>
    </row>
    <row r="21" ht="40" customHeight="1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  <c r="AA21" s="23" t="n"/>
    </row>
    <row r="22" ht="40" customHeight="1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  <c r="S22" s="23" t="n"/>
      <c r="T22" s="23" t="n"/>
      <c r="U22" s="23" t="n"/>
      <c r="V22" s="23" t="n"/>
      <c r="W22" s="23" t="n"/>
      <c r="X22" s="23" t="n"/>
      <c r="Y22" s="23" t="n"/>
      <c r="Z22" s="23" t="n"/>
      <c r="AA22" s="23" t="n"/>
    </row>
    <row r="23" ht="40" customHeight="1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  <c r="AA23" s="23" t="n"/>
    </row>
    <row r="24" ht="40" customHeight="1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  <c r="AA24" s="23" t="n"/>
    </row>
    <row r="25" ht="40" customHeight="1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3" t="n"/>
      <c r="Z25" s="23" t="n"/>
      <c r="AA25" s="23" t="n"/>
    </row>
    <row r="26" ht="40" customHeight="1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3" t="n"/>
      <c r="Z26" s="23" t="n"/>
      <c r="AA26" s="23" t="n"/>
    </row>
    <row r="27" ht="40" customHeight="1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  <c r="V27" s="23" t="n"/>
      <c r="W27" s="23" t="n"/>
      <c r="X27" s="23" t="n"/>
      <c r="Y27" s="23" t="n"/>
      <c r="Z27" s="23" t="n"/>
      <c r="AA27" s="23" t="n"/>
    </row>
    <row r="28" ht="40" customHeight="1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3" t="n"/>
      <c r="Z28" s="23" t="n"/>
      <c r="AA28" s="23" t="n"/>
    </row>
    <row r="29" ht="40" customHeight="1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  <c r="S29" s="23" t="n"/>
      <c r="T29" s="23" t="n"/>
      <c r="U29" s="23" t="n"/>
      <c r="V29" s="23" t="n"/>
      <c r="W29" s="23" t="n"/>
      <c r="X29" s="23" t="n"/>
      <c r="Y29" s="23" t="n"/>
      <c r="Z29" s="23" t="n"/>
      <c r="AA29" s="23" t="n"/>
    </row>
    <row r="30" ht="40" customHeight="1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  <c r="S30" s="23" t="n"/>
      <c r="T30" s="23" t="n"/>
      <c r="U30" s="23" t="n"/>
      <c r="V30" s="23" t="n"/>
      <c r="W30" s="23" t="n"/>
      <c r="X30" s="23" t="n"/>
      <c r="Y30" s="23" t="n"/>
      <c r="Z30" s="23" t="n"/>
      <c r="AA30" s="23" t="n"/>
    </row>
    <row r="31" ht="40" customHeight="1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  <c r="S31" s="23" t="n"/>
      <c r="T31" s="23" t="n"/>
      <c r="U31" s="23" t="n"/>
      <c r="V31" s="23" t="n"/>
      <c r="W31" s="23" t="n"/>
      <c r="X31" s="23" t="n"/>
      <c r="Y31" s="23" t="n"/>
      <c r="Z31" s="23" t="n"/>
      <c r="AA31" s="23" t="n"/>
    </row>
    <row r="32" ht="40" customHeight="1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23" t="n"/>
      <c r="U32" s="23" t="n"/>
      <c r="V32" s="23" t="n"/>
      <c r="W32" s="23" t="n"/>
      <c r="X32" s="23" t="n"/>
      <c r="Y32" s="23" t="n"/>
      <c r="Z32" s="23" t="n"/>
      <c r="AA32" s="23" t="n"/>
    </row>
    <row r="33" ht="40" customHeight="1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  <c r="T33" s="23" t="n"/>
      <c r="U33" s="23" t="n"/>
      <c r="V33" s="23" t="n"/>
      <c r="W33" s="23" t="n"/>
      <c r="X33" s="23" t="n"/>
      <c r="Y33" s="23" t="n"/>
      <c r="Z33" s="23" t="n"/>
      <c r="AA33" s="23" t="n"/>
    </row>
    <row r="34" ht="40" customHeight="1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  <c r="T34" s="23" t="n"/>
      <c r="U34" s="23" t="n"/>
      <c r="V34" s="23" t="n"/>
      <c r="W34" s="23" t="n"/>
      <c r="X34" s="23" t="n"/>
      <c r="Y34" s="23" t="n"/>
      <c r="Z34" s="23" t="n"/>
      <c r="AA34" s="23" t="n"/>
    </row>
    <row r="35" ht="40" customHeight="1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3" t="n"/>
      <c r="V35" s="23" t="n"/>
      <c r="W35" s="23" t="n"/>
      <c r="X35" s="23" t="n"/>
      <c r="Y35" s="23" t="n"/>
      <c r="Z35" s="23" t="n"/>
      <c r="AA35" s="23" t="n"/>
    </row>
    <row r="36" ht="40" customHeight="1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3" t="n"/>
      <c r="AA36" s="23" t="n"/>
    </row>
  </sheetData>
  <mergeCells count="9">
    <mergeCell ref="I4:M4"/>
    <mergeCell ref="N4:R4"/>
    <mergeCell ref="A4:E4"/>
    <mergeCell ref="A2:AA2"/>
    <mergeCell ref="U4:W4"/>
    <mergeCell ref="F4:H4"/>
    <mergeCell ref="X4:Z4"/>
    <mergeCell ref="A1:AA1"/>
    <mergeCell ref="S4:T4"/>
  </mergeCells>
  <dataValidations count="18">
    <dataValidation sqref="C7:C36" showDropDown="0" showInputMessage="1" showErrorMessage="1" allowBlank="1" errorTitle="ค่าไม่ถูกต้อง" error="กรุณาเลือกจากรายการเท่านั้น (กดลูกศรด้านขวาของช่อง)" promptTitle="บริษัท" prompt="เลือกจากรายการ — กดลูกศรด้านขวาของช่อง" type="list">
      <formula1>DATA!$A$4:$A$9</formula1>
    </dataValidation>
    <dataValidation sqref="L7:L36" showDropDown="0" showInputMessage="1" showErrorMessage="1" allowBlank="1" errorTitle="ค่าไม่ถูกต้อง" error="กรุณาเลือกจากรายการเท่านั้น (กดลูกศรด้านขวาของช่อง)" promptTitle="เวลาที่ใช้กับงานนี้ในปัจจุบัน" prompt="เวลาที่คนใช้ทำงานนี้ด้วยวิธีเดิม รวมทุกคนในหน่วยงาน&#10;&#10;เช่น 3 คน คนละ 6 ชั่วโมง/สัปดาห์ = 18 ชั่วโมง/สัปดาห์&#10;&#10;ยังไม่ได้ใช้ AI ช่วย" type="list">
      <formula1>DATA!$R$4:$R$8</formula1>
    </dataValidation>
    <dataValidation sqref="M7:M36" showDropDown="0" showInputMessage="1" showErrorMessage="1" allowBlank="1" errorTitle="ค่าไม่ถูกต้อง" error="กรุณาเลือกจากรายการเท่านั้น (กดลูกศรด้านขวาของช่อง)" promptTitle="มูลค่าความสูญเสียต่อปี" prompt="ความสูญเสียที่เกิดจากปัญหานี้ในปัจจุบัน&#10;&#10;ถ้าประเมินเป็นตัวเงินไม่ได้ ให้เลือกตัวเลือกแรก&#10;ระบบจะใช้เฉพาะชั่วโมงคิดคะแนน ไม่ได้หักคะแนน" type="list">
      <formula1>DATA!$S$4:$S$8</formula1>
    </dataValidation>
    <dataValidation sqref="O7:O36" showDropDown="0" showInputMessage="1" showErrorMessage="1" allowBlank="1" errorTitle="ค่าไม่ถูกต้อง" error="กรุณาเลือกจากรายการเท่านั้น (กดลูกศรด้านขวาของช่อง)" promptTitle="รูปแบบการจัดเก็บข้อมูลปัจจุบัน" prompt="ข้อมูลที่จะใช้พัฒนา AI เก็บอยู่ในรูปแบบไหน&#10;&#10;กระดาษ = ต้องแปลงเป็นดิจิทัลก่อน ใช้เวลาเป็นเดือน&#10;ฐานข้อมูลในระบบ = ดึงอัตโนมัติได้ เริ่มได้เร็วที่สุด" type="list">
      <formula1>DATA!$B$4:$B$9</formula1>
    </dataValidation>
    <dataValidation sqref="P7:P36" showDropDown="0" showInputMessage="1" showErrorMessage="1" allowBlank="1" errorTitle="ค่าไม่ถูกต้อง" error="กรุณาเลือกจากรายการเท่านั้น (กดลูกศรด้านขวาของช่อง)" promptTitle="ระยะเวลาข้อมูลย้อนหลังที่มี" prompt="มีข้อมูลเก็บย้อนหลังมานานแค่ไหน&#10;&#10;ยิ่งนาน ยิ่งมีตัวอย่างให้ AI เรียนรู้มาก&#10;แต่ต้องดูปริมาณด้วย 3 ปีที่มีปีละ 10 รายการ ก็ยังไม่พอ" type="list">
      <formula1>DATA!$C$4:$C$7</formula1>
    </dataValidation>
    <dataValidation sqref="R7:R36" showDropDown="0" showInputMessage="1" showErrorMessage="1" allowBlank="1" errorTitle="ค่าไม่ถูกต้อง" error="กรุณาเลือกจากรายการเท่านั้น (กดลูกศรด้านขวาของช่อง)" promptTitle="สิทธิ์ในการนำข้อมูลมาใช้" prompt="ไม่ได้ถามว่ามีข้อมูลมั้ย แต่ถามว่าขอมาใช้ได้จริงมั้ย&#10;&#10;เจอบ่อยว่ามีข้อมูลครบแต่ใช้ไม่ได้ เพราะเป็นของลูกค้า&#10;ที่มีสัญญา หรืออยู่ในเครื่องจักรที่ผู้ขายล็อกไว้" type="list">
      <formula1>DATA!$D$4:$D$6</formula1>
    </dataValidation>
    <dataValidation sqref="S7:S36" showDropDown="0" showInputMessage="1" showErrorMessage="1" allowBlank="1" errorTitle="ค่าไม่ถูกต้อง" error="กรุณาเลือกจากรายการเท่านั้น (กดลูกศรด้านขวาของช่อง)" promptTitle="การเชื่อมต่อกับระบบเดิม" prompt="ลองถามตัวเองว่า ถ้า export เป็นไฟล์มาให้ AI ทุกเช้า&#10;แล้วเอาผลไปกรอกเข้าระบบเองทีหลัง งานนี้ยังใช้ได้มั้ย&#10;&#10;ถ้าใช้ได้ = เลือก จำเป็นบางส่วน&#10;ถ้าต้องอัตโนมัติทันทีเท่านั้น = เลือก จำเป็น" type="list">
      <formula1>DATA!$E$4:$E$7</formula1>
    </dataValidation>
    <dataValidation sqref="T7:T36" showDropDown="0" showInputMessage="1" showErrorMessage="1" allowBlank="1" errorTitle="ค่าไม่ถูกต้อง" error="กรุณาเลือกจากรายการเท่านั้น (กดลูกศรด้านขวาของช่อง)" promptTitle="ผู้ดูแลระบบหลังส่งมอบ" prompt="มีคนในหน่วยงานรับดูแลระบบต่อหลังส่งมอบหรือไม่&#10;&#10;เป็นตัวชี้ขาดว่าระบบจะอยู่รอดหลังโครงการจบ&#10;ถ้ามี ระบุชื่อไว้ในช่องหมายเหตุด้วย" type="list">
      <formula1>DATA!$F$4:$F$6</formula1>
    </dataValidation>
    <dataValidation sqref="U7:U36" showDropDown="0" showInputMessage="1" showErrorMessage="1" allowBlank="1" errorTitle="ค่าไม่ถูกต้อง" error="กรุณาเลือกจากรายการเท่านั้น (กดลูกศรด้านขวาของช่อง)" promptTitle="ผลกระทบเมื่อ AI ผิดพลาด" prompt="ถ้า AI ให้ผลผิด จะเกิดผลกระทบระดับไหน&#10;&#10;chatbot ตอบผิด ต่างจากตรวจคุณภาพผิดแล้วส่งของเสียถึงลูกค้า" type="list">
      <formula1>DATA!$G$4:$G$6</formula1>
    </dataValidation>
    <dataValidation sqref="V7:V36" showDropDown="0" showInputMessage="1" showErrorMessage="1" allowBlank="1" errorTitle="ค่าไม่ถูกต้อง" error="กรุณาเลือกจากรายการเท่านั้น (กดลูกศรด้านขวาของช่อง)" promptTitle="การตรวจสอบผลลัพธ์โดยบุคลากร" prompt="เลือกจากรายการ — กดลูกศรด้านขวาของช่อง" type="list">
      <formula1>DATA!$H$4:$H$6</formula1>
    </dataValidation>
    <dataValidation sqref="W7:W36" showDropDown="0" showInputMessage="1" showErrorMessage="1" allowBlank="1" errorTitle="ค่าไม่ถูกต้อง" error="กรุณาเลือกจากรายการเท่านั้น (กดลูกศรด้านขวาของช่อง)" promptTitle="ระดับชั้นความลับของข้อมูล" prompt="ช่องนี้ถูกใช้ 2 ที่&#10;&#10;คิดคะแนนความเสี่ยง&#10;และกำหนดว่าต้องเข้ารหัส จำกัดสิทธิ์ และเก็บ log ระดับไหน" type="list">
      <formula1>DATA!$I$4:$I$7</formula1>
    </dataValidation>
    <dataValidation sqref="X7:X36" showDropDown="0" showInputMessage="1" showErrorMessage="1" allowBlank="1" errorTitle="ค่าไม่ถูกต้อง" error="กรุณาเลือกจากรายการเท่านั้น (กดลูกศรด้านขวาของช่อง)" promptTitle="ระดับความสำคัญตามความเห็นผู้ใช้" prompt="ความเห็นของหน่วยงาน ไม่ได้นำไปคิดคะแนน&#10;&#10;เก็บไว้เทียบกับคะแนนที่ระบบคำนวณ&#10;ถ้าต่างกันมาก แปลว่าต้องคุยกันว่าเพราะอะไร" type="list">
      <formula1>DATA!$J$4:$J$6</formula1>
    </dataValidation>
    <dataValidation sqref="I7:I36" showDropDown="0" showInputMessage="1" showErrorMessage="0" allowBlank="1" promptTitle="ปัญหาที่ต้องการแก้" prompt="ตอนนี้เจอปัญหาอะไร ทำไมถึงอยากได้ AI มาช่วย&#10;เช่น ตรวจด้วยตาเปล่าทำให้ของเสียหลุดถึงลูกค้าเดือนละ 2-3 ครั้ง"/>
    <dataValidation sqref="J7:J36" showDropDown="0" showInputMessage="1" showErrorMessage="0" allowBlank="1" promptTitle="วิธีการทำงานปัจจุบัน" prompt="ตอนนี้ทำงานนี้ยังไง ใครเป็นคนทำ ใช้เครื่องมืออะไร บันทึกผลไว้ที่ไหน&#10;เขียนแบบที่คนนอกแผนกอ่านแล้วเห็นภาพ"/>
    <dataValidation sqref="K7:K36" showDropDown="0" showInputMessage="1" showErrorMessage="0" allowBlank="1" promptTitle="แนวทางหลังนำ AI มาใช้" prompt="อยากให้ AI ทำอะไรให้ และผลลัพธ์ที่อยากได้หน้าตาเป็นยังไง&#10;เช่น ติดกล้องที่สายพาน ให้ AI แยกดี/เสียอัตโนมัติ&#10;ชิ้นที่ AI ไม่มั่นใจค่อยส่งให้คนตรวจ"/>
    <dataValidation sqref="N7:N36" showDropDown="0" showInputMessage="1" showErrorMessage="0" allowBlank="1" promptTitle="ข้อมูลที่มีอยู่ตอนนี้" prompt="มีข้อมูลอะไรบ้าง เก็บไว้ที่ไหน ใครเป็นคนเก็บ&#10;ถ้ามีสัดส่วนที่น่าสนใจให้เขียนด้วย เช่น รูปดี 3,000 / รูปเสีย 1,000"/>
    <dataValidation sqref="Q7:Q36" showDropDown="0" showInputMessage="1" showErrorMessage="0" allowBlank="1" promptTitle="ปริมาณข้อมูลโดยประมาณ" prompt="นับเป็น 'รายการ' หน่วยขึ้นกับงาน :&#10;  ตรวจภาพ = กี่รูป&#10;  หาสาเหตุ/NC = กี่เคส&#10;  ค้นหาเอกสาร = กี่ไฟล์&#10;  เครื่องเสีย = กี่ครั้ง&#10;  การผลิต = กี่ล็อต&#10;&#10;นับเฉพาะที่รู้คำตอบแล้ว เช่น รูปที่มาร์คว่าดี/เสีย&#10;(รายละเอียดเต็มอยู่ในคู่มือ)"/>
    <dataValidation sqref="AA7:AA36" showDropDown="0" showInputMessage="1" showErrorMessage="0" allowBlank="1" promptTitle="สถานที่ตั้งที่ใช้งาน" prompt="โรงงาน/สาขาที่ใช้งานนี้จริง (บริษัทเดียวมีหลายที่ตั้งได้)&#10;&#10;ที่ตั้งคนละที่ = ใช้ Server คนละเครื่อง ไม่มี Server กลางข้ามที่ตั้ง&#10;พิมพ์ชื่อให้เหมือนกันทุกครั้งสำหรับที่ตั้งเดียวกัน&#10;ถ้ามีที่ตั้งเดียว เว้นว่างได้"/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2" customWidth="1" min="2" max="2"/>
    <col width="18" customWidth="1" min="3" max="3"/>
    <col width="44" customWidth="1" min="4" max="4"/>
    <col width="26" customWidth="1" min="5" max="5"/>
    <col width="26" customWidth="1" min="6" max="6"/>
    <col width="22" customWidth="1" min="7" max="7"/>
    <col width="26" customWidth="1" min="8" max="8"/>
    <col width="46" customWidth="1" min="9" max="9"/>
    <col width="34" customWidth="1" min="10" max="10"/>
    <col width="22" customWidth="1" min="11" max="11"/>
    <col width="44" customWidth="1" min="12" max="12"/>
    <col width="28" customWidth="1" min="13" max="13"/>
    <col width="44" customWidth="1" min="14" max="14"/>
    <col width="40" customWidth="1" min="15" max="15"/>
    <col width="20" customWidth="1" min="16" max="16"/>
    <col width="32" customWidth="1" min="17" max="17"/>
    <col width="20" customWidth="1" min="18" max="18"/>
    <col width="24" customWidth="1" min="19" max="19"/>
    <col width="32" customWidth="1" min="20" max="20"/>
    <col width="24" customWidth="1" min="21" max="21"/>
    <col width="44" customWidth="1" min="22" max="22"/>
    <col width="44" customWidth="1" min="23" max="23"/>
    <col width="34" customWidth="1" min="24" max="24"/>
  </cols>
  <sheetData>
    <row r="1" ht="28" customHeight="1">
      <c r="A1" s="1" t="inlineStr">
        <is>
          <t>ชั้นที่ 2 : รายละเอียดเทคนิค   (กรอกทุก Use Case — ใช้กำหนด Spec Server ที่จะตั้งในบริษัท)</t>
        </is>
      </c>
    </row>
    <row r="2" ht="22" customHeight="1">
      <c r="A2" s="6" t="inlineStr">
        <is>
          <t>Server เป็นเครื่องซื้อใหม่ ตั้งในบริษัท ทุกที่ตั้ง (โรงงาน/สาขา) มีเครื่องของตัวเอง ไม่ใช้ Cloud  |  เขียว = ระบบดึงมาให้  |  เหลือง = แผนกกรอก  |  ฟ้า = ทีม AI/IT เติมให้ทีหลัง แผนกข้ามไปได้เลย</t>
        </is>
      </c>
    </row>
    <row r="4" ht="20" customHeight="1">
      <c r="A4" s="7" t="inlineStr">
        <is>
          <t>ลิงก์อัตโนมัติจากชั้นที่ 1</t>
        </is>
      </c>
      <c r="B4" s="8" t="n"/>
      <c r="C4" s="8" t="n"/>
      <c r="D4" s="11" t="inlineStr">
        <is>
          <t>โซน A : ปริมาณงาน  (หน่วยงานผู้ใช้กรอก)</t>
        </is>
      </c>
      <c r="E4" s="12" t="n"/>
      <c r="F4" s="12" t="n"/>
      <c r="G4" s="12" t="n"/>
      <c r="H4" s="12" t="n"/>
      <c r="I4" s="12" t="n"/>
      <c r="J4" s="12" t="n"/>
      <c r="K4" s="15" t="inlineStr">
        <is>
          <t>โซน A : ความต้องการใช้งาน  (หน่วยงานผู้ใช้กรอก)</t>
        </is>
      </c>
      <c r="L4" s="16" t="n"/>
      <c r="M4" s="16" t="n"/>
      <c r="N4" s="16" t="n"/>
      <c r="O4" s="19" t="inlineStr">
        <is>
          <t>โซน A : ข้อกำหนดและงบประมาณ  (หน่วยงานผู้ใช้กรอก)</t>
        </is>
      </c>
      <c r="P4" s="20" t="n"/>
      <c r="Q4" s="20" t="n"/>
      <c r="R4" s="20" t="n"/>
      <c r="S4" s="9" t="inlineStr">
        <is>
          <t>โซน B : ทีม AI / IT ดำเนินการภายหลัง — หน่วยงานผู้ใช้ไม่ต้องกรอก</t>
        </is>
      </c>
      <c r="T4" s="10" t="n"/>
      <c r="U4" s="10" t="n"/>
      <c r="V4" s="10" t="n"/>
      <c r="W4" s="10" t="n"/>
      <c r="X4" s="10" t="n"/>
    </row>
    <row r="5" ht="48" customHeight="1">
      <c r="A5" s="21" t="inlineStr">
        <is>
          <t>ลำดับ</t>
        </is>
      </c>
      <c r="B5" s="21" t="inlineStr">
        <is>
          <t>ชื่อ Use Case</t>
        </is>
      </c>
      <c r="C5" s="21" t="inlineStr">
        <is>
          <t>หน่วยงานที่ใช้งาน</t>
        </is>
      </c>
      <c r="D5" s="21" t="inlineStr">
        <is>
          <t>ลักษณะการเริ่มทำงานของระบบ</t>
        </is>
      </c>
      <c r="E5" s="21" t="inlineStr">
        <is>
          <t>ประเภทข้อมูลนำเข้า (Input)</t>
        </is>
      </c>
      <c r="F5" s="21" t="inlineStr">
        <is>
          <t>ประเภทงาน AI
(ระบบคำนวณให้จากช่องซ้าย)</t>
        </is>
      </c>
      <c r="G5" s="21" t="inlineStr">
        <is>
          <t>จำนวนผู้ใช้งานต่อวัน</t>
        </is>
      </c>
      <c r="H5" s="21" t="inlineStr">
        <is>
          <t>จำนวนผู้ใช้งานพร้อมกันสูงสุด
(Peak Concurrent)</t>
        </is>
      </c>
      <c r="I5" s="21" t="inlineStr">
        <is>
          <t>ปริมาณรายการที่ต้องประมวลผลต่อวัน
1 รายการ = 1 ชิ้น / ล็อต / คำถาม / เคส แล้วแต่ประเภทงาน</t>
        </is>
      </c>
      <c r="J5" s="21" t="inlineStr">
        <is>
          <t>จำนวนจุดตรวจหรือกล้องที่ทำงานพร้อมกัน
(งานประมวลผลภาพ)</t>
        </is>
      </c>
      <c r="K5" s="21" t="inlineStr">
        <is>
          <t>ภาษาที่ต้องรองรับ</t>
        </is>
      </c>
      <c r="L5" s="21" t="inlineStr">
        <is>
          <t>เวลาตอบสนองที่ยอมรับได้</t>
        </is>
      </c>
      <c r="M5" s="21" t="inlineStr">
        <is>
          <t>ช่วงเวลาที่ต้องให้บริการ</t>
        </is>
      </c>
      <c r="N5" s="21" t="inlineStr">
        <is>
          <t>ผลกระทบเมื่อระบบตอบสนองช้าลง
ในช่วงที่มีการใช้งานหนาแน่น</t>
        </is>
      </c>
      <c r="O5" s="21" t="inlineStr">
        <is>
          <t>ระยะเวลาการจัดเก็บข้อมูล</t>
        </is>
      </c>
      <c r="P5" s="21" t="inlineStr">
        <is>
          <t>งบประมาณที่ตั้งไว้ (บาท)
หากมี</t>
        </is>
      </c>
      <c r="Q5" s="21" t="inlineStr">
        <is>
          <t>ข้อจำกัดอื่นๆ และหมายเหตุ</t>
        </is>
      </c>
      <c r="R5" s="21" t="inlineStr">
        <is>
          <t>ผู้ให้ข้อมูล (หน่วยงาน)</t>
        </is>
      </c>
      <c r="S5" s="21" t="inlineStr">
        <is>
          <t>ปริมาณข้อมูลนำเข้าต่อวัน</t>
        </is>
      </c>
      <c r="T5" s="21" t="inlineStr">
        <is>
          <t>ขนาดคลังเอกสารทั้งหมด
(สำหรับงานสืบค้น / RAG)</t>
        </is>
      </c>
      <c r="U5" s="21" t="inlineStr">
        <is>
          <t>ความละเอียดของภาพ</t>
        </is>
      </c>
      <c r="V5" s="21" t="inlineStr">
        <is>
          <t>รูปแบบการติดตั้ง
(Server ภายในองค์กรเท่านั้น)</t>
        </is>
      </c>
      <c r="W5" s="21" t="inlineStr">
        <is>
          <t>ความจำเป็นในการปรับโมเดล
ด้วยข้อมูลขององค์กร</t>
        </is>
      </c>
      <c r="X5" s="21" t="inlineStr">
        <is>
          <t>ความถี่ในการฝึกโมเดลใหม่</t>
        </is>
      </c>
    </row>
    <row r="6" ht="58" customHeight="1">
      <c r="A6" s="24">
        <f>IF('1-UseCase ทั้งหมด'!B6="","",'1-UseCase ทั้งหมด'!A6)</f>
        <v/>
      </c>
      <c r="B6" s="24">
        <f>IF('1-UseCase ทั้งหมด'!B6="","",'1-UseCase ทั้งหมด'!B6)</f>
        <v/>
      </c>
      <c r="C6" s="24">
        <f>IF('1-UseCase ทั้งหมด'!B6="","",'1-UseCase ทั้งหมด'!D6)</f>
        <v/>
      </c>
      <c r="D6" s="22" t="inlineStr">
        <is>
          <t>ทำงานอัตโนมัติต่อเนื่อง - ระบบทำงานเอง ไม่มีผู้เรียกใช้</t>
        </is>
      </c>
      <c r="E6" s="22" t="inlineStr">
        <is>
          <t>ภาพถ่าย</t>
        </is>
      </c>
      <c r="F6" s="24">
        <f>IF($E6="","",IF($E6="ข้อความ / เอกสาร","งานภาษา (LLM)",IF($E6="ภาพถ่าย","งานภาพ (Vision)",IF($E6="เสียง","งานเสียง",IF($E6="วิดีโอ","งานภาพ (Vision)",IF($E6="ตัวเลข / ตาราง","งานตัวเลข (ML)",IF($E6="ผสมหลายประเภท","ผสม - ต้องดูรายละเอียด","")))))))</f>
        <v/>
      </c>
      <c r="G6" s="22" t="inlineStr">
        <is>
          <t>1 - 10 คน</t>
        </is>
      </c>
      <c r="H6" s="22" t="inlineStr">
        <is>
          <t>1 - 2 คน</t>
        </is>
      </c>
      <c r="I6" s="22" t="inlineStr">
        <is>
          <t>1,000 - 10,000 รายการ</t>
        </is>
      </c>
      <c r="J6" s="22" t="inlineStr">
        <is>
          <t>2 - 3 จุด</t>
        </is>
      </c>
      <c r="K6" s="22" t="inlineStr">
        <is>
          <t>ไม่เกี่ยวข้องกับภาษา</t>
        </is>
      </c>
      <c r="L6" s="22" t="inlineStr">
        <is>
          <t>ทันที - ไม่เกิน 2 วินาที (ตอบกลับในกระบวนการทันที)</t>
        </is>
      </c>
      <c r="M6" s="22" t="inlineStr">
        <is>
          <t>เวลาทำการ 8:00 - 18:00 น.</t>
        </is>
      </c>
      <c r="N6" s="22" t="inlineStr">
        <is>
          <t>กระทบมาก - ไม่สามารถล่าช้าหรือหยุดได้ (อยู่ในสายการผลิต)</t>
        </is>
      </c>
      <c r="O6" s="22" t="inlineStr">
        <is>
          <t>2 - 3 ปี</t>
        </is>
      </c>
      <c r="P6" s="22" t="n">
        <v>500000</v>
      </c>
      <c r="Q6" s="22" t="inlineStr">
        <is>
          <t>ต้องติดตั้งกล้องที่สายพานเดิม พื้นที่ติดตั้งจำกัด</t>
        </is>
      </c>
      <c r="R6" s="22" t="inlineStr">
        <is>
          <t>คุณสมชาย</t>
        </is>
      </c>
      <c r="S6" s="25" t="inlineStr">
        <is>
          <t>1 - 10 GB</t>
        </is>
      </c>
      <c r="T6" s="25" t="inlineStr">
        <is>
          <t>ไม่เกี่ยวข้อง - ไม่ใช่งานสืบค้นเอกสาร</t>
        </is>
      </c>
      <c r="U6" s="25" t="inlineStr">
        <is>
          <t>1 - 5 ล้านพิกเซล</t>
        </is>
      </c>
      <c r="V6" s="25" t="inlineStr">
        <is>
          <t>ต้องติดตั้งที่หน้างาน - ติดตั้งข้างเครื่องจักรหรือสายพาน</t>
        </is>
      </c>
      <c r="W6" s="25" t="inlineStr">
        <is>
          <t>จำเป็น - ต้อง Fine-tune ด้วยข้อมูลหรือภาพขององค์กร</t>
        </is>
      </c>
      <c r="X6" s="25" t="inlineStr">
        <is>
          <t>ทุกไตรมาส</t>
        </is>
      </c>
    </row>
    <row r="7" ht="40" customHeight="1">
      <c r="A7" s="26">
        <f>IF('1-UseCase ทั้งหมด'!B7="","",'1-UseCase ทั้งหมด'!A7)</f>
        <v/>
      </c>
      <c r="B7" s="26">
        <f>IF('1-UseCase ทั้งหมด'!B7="","",'1-UseCase ทั้งหมด'!B7)</f>
        <v/>
      </c>
      <c r="C7" s="26">
        <f>IF('1-UseCase ทั้งหมด'!B7="","",'1-UseCase ทั้งหมด'!D7)</f>
        <v/>
      </c>
      <c r="D7" s="23" t="n"/>
      <c r="E7" s="23" t="n"/>
      <c r="F7" s="26">
        <f>IF($E7="","",IF($E7="ข้อความ / เอกสาร","งานภาษา (LLM)",IF($E7="ภาพถ่าย","งานภาพ (Vision)",IF($E7="เสียง","งานเสียง",IF($E7="วิดีโอ","งานภาพ (Vision)",IF($E7="ตัวเลข / ตาราง","งานตัวเลข (ML)",IF($E7="ผสมหลายประเภท","ผสม - ต้องดูรายละเอียด","")))))))</f>
        <v/>
      </c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7" t="n"/>
      <c r="T7" s="27" t="n"/>
      <c r="U7" s="27" t="n"/>
      <c r="V7" s="27" t="n"/>
      <c r="W7" s="27" t="n"/>
      <c r="X7" s="27" t="n"/>
    </row>
    <row r="8" ht="40" customHeight="1">
      <c r="A8" s="26">
        <f>IF('1-UseCase ทั้งหมด'!B8="","",'1-UseCase ทั้งหมด'!A8)</f>
        <v/>
      </c>
      <c r="B8" s="26">
        <f>IF('1-UseCase ทั้งหมด'!B8="","",'1-UseCase ทั้งหมด'!B8)</f>
        <v/>
      </c>
      <c r="C8" s="26">
        <f>IF('1-UseCase ทั้งหมด'!B8="","",'1-UseCase ทั้งหมด'!D8)</f>
        <v/>
      </c>
      <c r="D8" s="23" t="n"/>
      <c r="E8" s="23" t="n"/>
      <c r="F8" s="26">
        <f>IF($E8="","",IF($E8="ข้อความ / เอกสาร","งานภาษา (LLM)",IF($E8="ภาพถ่าย","งานภาพ (Vision)",IF($E8="เสียง","งานเสียง",IF($E8="วิดีโอ","งานภาพ (Vision)",IF($E8="ตัวเลข / ตาราง","งานตัวเลข (ML)",IF($E8="ผสมหลายประเภท","ผสม - ต้องดูรายละเอียด","")))))))</f>
        <v/>
      </c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7" t="n"/>
      <c r="T8" s="27" t="n"/>
      <c r="U8" s="27" t="n"/>
      <c r="V8" s="27" t="n"/>
      <c r="W8" s="27" t="n"/>
      <c r="X8" s="27" t="n"/>
    </row>
    <row r="9" ht="40" customHeight="1">
      <c r="A9" s="26">
        <f>IF('1-UseCase ทั้งหมด'!B9="","",'1-UseCase ทั้งหมด'!A9)</f>
        <v/>
      </c>
      <c r="B9" s="26">
        <f>IF('1-UseCase ทั้งหมด'!B9="","",'1-UseCase ทั้งหมด'!B9)</f>
        <v/>
      </c>
      <c r="C9" s="26">
        <f>IF('1-UseCase ทั้งหมด'!B9="","",'1-UseCase ทั้งหมด'!D9)</f>
        <v/>
      </c>
      <c r="D9" s="23" t="n"/>
      <c r="E9" s="23" t="n"/>
      <c r="F9" s="26">
        <f>IF($E9="","",IF($E9="ข้อความ / เอกสาร","งานภาษา (LLM)",IF($E9="ภาพถ่าย","งานภาพ (Vision)",IF($E9="เสียง","งานเสียง",IF($E9="วิดีโอ","งานภาพ (Vision)",IF($E9="ตัวเลข / ตาราง","งานตัวเลข (ML)",IF($E9="ผสมหลายประเภท","ผสม - ต้องดูรายละเอียด","")))))))</f>
        <v/>
      </c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7" t="n"/>
      <c r="T9" s="27" t="n"/>
      <c r="U9" s="27" t="n"/>
      <c r="V9" s="27" t="n"/>
      <c r="W9" s="27" t="n"/>
      <c r="X9" s="27" t="n"/>
    </row>
    <row r="10" ht="40" customHeight="1">
      <c r="A10" s="26">
        <f>IF('1-UseCase ทั้งหมด'!B10="","",'1-UseCase ทั้งหมด'!A10)</f>
        <v/>
      </c>
      <c r="B10" s="26">
        <f>IF('1-UseCase ทั้งหมด'!B10="","",'1-UseCase ทั้งหมด'!B10)</f>
        <v/>
      </c>
      <c r="C10" s="26">
        <f>IF('1-UseCase ทั้งหมด'!B10="","",'1-UseCase ทั้งหมด'!D10)</f>
        <v/>
      </c>
      <c r="D10" s="23" t="n"/>
      <c r="E10" s="23" t="n"/>
      <c r="F10" s="26">
        <f>IF($E10="","",IF($E10="ข้อความ / เอกสาร","งานภาษา (LLM)",IF($E10="ภาพถ่าย","งานภาพ (Vision)",IF($E10="เสียง","งานเสียง",IF($E10="วิดีโอ","งานภาพ (Vision)",IF($E10="ตัวเลข / ตาราง","งานตัวเลข (ML)",IF($E10="ผสมหลายประเภท","ผสม - ต้องดูรายละเอียด","")))))))</f>
        <v/>
      </c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7" t="n"/>
      <c r="T10" s="27" t="n"/>
      <c r="U10" s="27" t="n"/>
      <c r="V10" s="27" t="n"/>
      <c r="W10" s="27" t="n"/>
      <c r="X10" s="27" t="n"/>
    </row>
    <row r="11" ht="40" customHeight="1">
      <c r="A11" s="26">
        <f>IF('1-UseCase ทั้งหมด'!B11="","",'1-UseCase ทั้งหมด'!A11)</f>
        <v/>
      </c>
      <c r="B11" s="26">
        <f>IF('1-UseCase ทั้งหมด'!B11="","",'1-UseCase ทั้งหมด'!B11)</f>
        <v/>
      </c>
      <c r="C11" s="26">
        <f>IF('1-UseCase ทั้งหมด'!B11="","",'1-UseCase ทั้งหมด'!D11)</f>
        <v/>
      </c>
      <c r="D11" s="23" t="n"/>
      <c r="E11" s="23" t="n"/>
      <c r="F11" s="26">
        <f>IF($E11="","",IF($E11="ข้อความ / เอกสาร","งานภาษา (LLM)",IF($E11="ภาพถ่าย","งานภาพ (Vision)",IF($E11="เสียง","งานเสียง",IF($E11="วิดีโอ","งานภาพ (Vision)",IF($E11="ตัวเลข / ตาราง","งานตัวเลข (ML)",IF($E11="ผสมหลายประเภท","ผสม - ต้องดูรายละเอียด","")))))))</f>
        <v/>
      </c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  <c r="S11" s="27" t="n"/>
      <c r="T11" s="27" t="n"/>
      <c r="U11" s="27" t="n"/>
      <c r="V11" s="27" t="n"/>
      <c r="W11" s="27" t="n"/>
      <c r="X11" s="27" t="n"/>
    </row>
    <row r="12" ht="40" customHeight="1">
      <c r="A12" s="26">
        <f>IF('1-UseCase ทั้งหมด'!B12="","",'1-UseCase ทั้งหมด'!A12)</f>
        <v/>
      </c>
      <c r="B12" s="26">
        <f>IF('1-UseCase ทั้งหมด'!B12="","",'1-UseCase ทั้งหมด'!B12)</f>
        <v/>
      </c>
      <c r="C12" s="26">
        <f>IF('1-UseCase ทั้งหมด'!B12="","",'1-UseCase ทั้งหมด'!D12)</f>
        <v/>
      </c>
      <c r="D12" s="23" t="n"/>
      <c r="E12" s="23" t="n"/>
      <c r="F12" s="26">
        <f>IF($E12="","",IF($E12="ข้อความ / เอกสาร","งานภาษา (LLM)",IF($E12="ภาพถ่าย","งานภาพ (Vision)",IF($E12="เสียง","งานเสียง",IF($E12="วิดีโอ","งานภาพ (Vision)",IF($E12="ตัวเลข / ตาราง","งานตัวเลข (ML)",IF($E12="ผสมหลายประเภท","ผสม - ต้องดูรายละเอียด","")))))))</f>
        <v/>
      </c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  <c r="S12" s="27" t="n"/>
      <c r="T12" s="27" t="n"/>
      <c r="U12" s="27" t="n"/>
      <c r="V12" s="27" t="n"/>
      <c r="W12" s="27" t="n"/>
      <c r="X12" s="27" t="n"/>
    </row>
    <row r="13" ht="40" customHeight="1">
      <c r="A13" s="26">
        <f>IF('1-UseCase ทั้งหมด'!B13="","",'1-UseCase ทั้งหมด'!A13)</f>
        <v/>
      </c>
      <c r="B13" s="26">
        <f>IF('1-UseCase ทั้งหมด'!B13="","",'1-UseCase ทั้งหมด'!B13)</f>
        <v/>
      </c>
      <c r="C13" s="26">
        <f>IF('1-UseCase ทั้งหมด'!B13="","",'1-UseCase ทั้งหมด'!D13)</f>
        <v/>
      </c>
      <c r="D13" s="23" t="n"/>
      <c r="E13" s="23" t="n"/>
      <c r="F13" s="26">
        <f>IF($E13="","",IF($E13="ข้อความ / เอกสาร","งานภาษา (LLM)",IF($E13="ภาพถ่าย","งานภาพ (Vision)",IF($E13="เสียง","งานเสียง",IF($E13="วิดีโอ","งานภาพ (Vision)",IF($E13="ตัวเลข / ตาราง","งานตัวเลข (ML)",IF($E13="ผสมหลายประเภท","ผสม - ต้องดูรายละเอียด","")))))))</f>
        <v/>
      </c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7" t="n"/>
      <c r="T13" s="27" t="n"/>
      <c r="U13" s="27" t="n"/>
      <c r="V13" s="27" t="n"/>
      <c r="W13" s="27" t="n"/>
      <c r="X13" s="27" t="n"/>
    </row>
    <row r="14" ht="40" customHeight="1">
      <c r="A14" s="26">
        <f>IF('1-UseCase ทั้งหมด'!B14="","",'1-UseCase ทั้งหมด'!A14)</f>
        <v/>
      </c>
      <c r="B14" s="26">
        <f>IF('1-UseCase ทั้งหมด'!B14="","",'1-UseCase ทั้งหมด'!B14)</f>
        <v/>
      </c>
      <c r="C14" s="26">
        <f>IF('1-UseCase ทั้งหมด'!B14="","",'1-UseCase ทั้งหมด'!D14)</f>
        <v/>
      </c>
      <c r="D14" s="23" t="n"/>
      <c r="E14" s="23" t="n"/>
      <c r="F14" s="26">
        <f>IF($E14="","",IF($E14="ข้อความ / เอกสาร","งานภาษา (LLM)",IF($E14="ภาพถ่าย","งานภาพ (Vision)",IF($E14="เสียง","งานเสียง",IF($E14="วิดีโอ","งานภาพ (Vision)",IF($E14="ตัวเลข / ตาราง","งานตัวเลข (ML)",IF($E14="ผสมหลายประเภท","ผสม - ต้องดูรายละเอียด","")))))))</f>
        <v/>
      </c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  <c r="S14" s="27" t="n"/>
      <c r="T14" s="27" t="n"/>
      <c r="U14" s="27" t="n"/>
      <c r="V14" s="27" t="n"/>
      <c r="W14" s="27" t="n"/>
      <c r="X14" s="27" t="n"/>
    </row>
    <row r="15" ht="40" customHeight="1">
      <c r="A15" s="26">
        <f>IF('1-UseCase ทั้งหมด'!B15="","",'1-UseCase ทั้งหมด'!A15)</f>
        <v/>
      </c>
      <c r="B15" s="26">
        <f>IF('1-UseCase ทั้งหมด'!B15="","",'1-UseCase ทั้งหมด'!B15)</f>
        <v/>
      </c>
      <c r="C15" s="26">
        <f>IF('1-UseCase ทั้งหมด'!B15="","",'1-UseCase ทั้งหมด'!D15)</f>
        <v/>
      </c>
      <c r="D15" s="23" t="n"/>
      <c r="E15" s="23" t="n"/>
      <c r="F15" s="26">
        <f>IF($E15="","",IF($E15="ข้อความ / เอกสาร","งานภาษา (LLM)",IF($E15="ภาพถ่าย","งานภาพ (Vision)",IF($E15="เสียง","งานเสียง",IF($E15="วิดีโอ","งานภาพ (Vision)",IF($E15="ตัวเลข / ตาราง","งานตัวเลข (ML)",IF($E15="ผสมหลายประเภท","ผสม - ต้องดูรายละเอียด","")))))))</f>
        <v/>
      </c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  <c r="S15" s="27" t="n"/>
      <c r="T15" s="27" t="n"/>
      <c r="U15" s="27" t="n"/>
      <c r="V15" s="27" t="n"/>
      <c r="W15" s="27" t="n"/>
      <c r="X15" s="27" t="n"/>
    </row>
    <row r="16" ht="40" customHeight="1">
      <c r="A16" s="26">
        <f>IF('1-UseCase ทั้งหมด'!B16="","",'1-UseCase ทั้งหมด'!A16)</f>
        <v/>
      </c>
      <c r="B16" s="26">
        <f>IF('1-UseCase ทั้งหมด'!B16="","",'1-UseCase ทั้งหมด'!B16)</f>
        <v/>
      </c>
      <c r="C16" s="26">
        <f>IF('1-UseCase ทั้งหมด'!B16="","",'1-UseCase ทั้งหมด'!D16)</f>
        <v/>
      </c>
      <c r="D16" s="23" t="n"/>
      <c r="E16" s="23" t="n"/>
      <c r="F16" s="26">
        <f>IF($E16="","",IF($E16="ข้อความ / เอกสาร","งานภาษา (LLM)",IF($E16="ภาพถ่าย","งานภาพ (Vision)",IF($E16="เสียง","งานเสียง",IF($E16="วิดีโอ","งานภาพ (Vision)",IF($E16="ตัวเลข / ตาราง","งานตัวเลข (ML)",IF($E16="ผสมหลายประเภท","ผสม - ต้องดูรายละเอียด","")))))))</f>
        <v/>
      </c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  <c r="S16" s="27" t="n"/>
      <c r="T16" s="27" t="n"/>
      <c r="U16" s="27" t="n"/>
      <c r="V16" s="27" t="n"/>
      <c r="W16" s="27" t="n"/>
      <c r="X16" s="27" t="n"/>
    </row>
    <row r="17" ht="40" customHeight="1">
      <c r="A17" s="26">
        <f>IF('1-UseCase ทั้งหมด'!B17="","",'1-UseCase ทั้งหมด'!A17)</f>
        <v/>
      </c>
      <c r="B17" s="26">
        <f>IF('1-UseCase ทั้งหมด'!B17="","",'1-UseCase ทั้งหมด'!B17)</f>
        <v/>
      </c>
      <c r="C17" s="26">
        <f>IF('1-UseCase ทั้งหมด'!B17="","",'1-UseCase ทั้งหมด'!D17)</f>
        <v/>
      </c>
      <c r="D17" s="23" t="n"/>
      <c r="E17" s="23" t="n"/>
      <c r="F17" s="26">
        <f>IF($E17="","",IF($E17="ข้อความ / เอกสาร","งานภาษา (LLM)",IF($E17="ภาพถ่าย","งานภาพ (Vision)",IF($E17="เสียง","งานเสียง",IF($E17="วิดีโอ","งานภาพ (Vision)",IF($E17="ตัวเลข / ตาราง","งานตัวเลข (ML)",IF($E17="ผสมหลายประเภท","ผสม - ต้องดูรายละเอียด","")))))))</f>
        <v/>
      </c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  <c r="S17" s="27" t="n"/>
      <c r="T17" s="27" t="n"/>
      <c r="U17" s="27" t="n"/>
      <c r="V17" s="27" t="n"/>
      <c r="W17" s="27" t="n"/>
      <c r="X17" s="27" t="n"/>
    </row>
    <row r="18" ht="40" customHeight="1">
      <c r="A18" s="26">
        <f>IF('1-UseCase ทั้งหมด'!B18="","",'1-UseCase ทั้งหมด'!A18)</f>
        <v/>
      </c>
      <c r="B18" s="26">
        <f>IF('1-UseCase ทั้งหมด'!B18="","",'1-UseCase ทั้งหมด'!B18)</f>
        <v/>
      </c>
      <c r="C18" s="26">
        <f>IF('1-UseCase ทั้งหมด'!B18="","",'1-UseCase ทั้งหมด'!D18)</f>
        <v/>
      </c>
      <c r="D18" s="23" t="n"/>
      <c r="E18" s="23" t="n"/>
      <c r="F18" s="26">
        <f>IF($E18="","",IF($E18="ข้อความ / เอกสาร","งานภาษา (LLM)",IF($E18="ภาพถ่าย","งานภาพ (Vision)",IF($E18="เสียง","งานเสียง",IF($E18="วิดีโอ","งานภาพ (Vision)",IF($E18="ตัวเลข / ตาราง","งานตัวเลข (ML)",IF($E18="ผสมหลายประเภท","ผสม - ต้องดูรายละเอียด","")))))))</f>
        <v/>
      </c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  <c r="S18" s="27" t="n"/>
      <c r="T18" s="27" t="n"/>
      <c r="U18" s="27" t="n"/>
      <c r="V18" s="27" t="n"/>
      <c r="W18" s="27" t="n"/>
      <c r="X18" s="27" t="n"/>
    </row>
    <row r="19" ht="40" customHeight="1">
      <c r="A19" s="26">
        <f>IF('1-UseCase ทั้งหมด'!B19="","",'1-UseCase ทั้งหมด'!A19)</f>
        <v/>
      </c>
      <c r="B19" s="26">
        <f>IF('1-UseCase ทั้งหมด'!B19="","",'1-UseCase ทั้งหมด'!B19)</f>
        <v/>
      </c>
      <c r="C19" s="26">
        <f>IF('1-UseCase ทั้งหมด'!B19="","",'1-UseCase ทั้งหมด'!D19)</f>
        <v/>
      </c>
      <c r="D19" s="23" t="n"/>
      <c r="E19" s="23" t="n"/>
      <c r="F19" s="26">
        <f>IF($E19="","",IF($E19="ข้อความ / เอกสาร","งานภาษา (LLM)",IF($E19="ภาพถ่าย","งานภาพ (Vision)",IF($E19="เสียง","งานเสียง",IF($E19="วิดีโอ","งานภาพ (Vision)",IF($E19="ตัวเลข / ตาราง","งานตัวเลข (ML)",IF($E19="ผสมหลายประเภท","ผสม - ต้องดูรายละเอียด","")))))))</f>
        <v/>
      </c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  <c r="S19" s="27" t="n"/>
      <c r="T19" s="27" t="n"/>
      <c r="U19" s="27" t="n"/>
      <c r="V19" s="27" t="n"/>
      <c r="W19" s="27" t="n"/>
      <c r="X19" s="27" t="n"/>
    </row>
    <row r="20" ht="40" customHeight="1">
      <c r="A20" s="26">
        <f>IF('1-UseCase ทั้งหมด'!B20="","",'1-UseCase ทั้งหมด'!A20)</f>
        <v/>
      </c>
      <c r="B20" s="26">
        <f>IF('1-UseCase ทั้งหมด'!B20="","",'1-UseCase ทั้งหมด'!B20)</f>
        <v/>
      </c>
      <c r="C20" s="26">
        <f>IF('1-UseCase ทั้งหมด'!B20="","",'1-UseCase ทั้งหมด'!D20)</f>
        <v/>
      </c>
      <c r="D20" s="23" t="n"/>
      <c r="E20" s="23" t="n"/>
      <c r="F20" s="26">
        <f>IF($E20="","",IF($E20="ข้อความ / เอกสาร","งานภาษา (LLM)",IF($E20="ภาพถ่าย","งานภาพ (Vision)",IF($E20="เสียง","งานเสียง",IF($E20="วิดีโอ","งานภาพ (Vision)",IF($E20="ตัวเลข / ตาราง","งานตัวเลข (ML)",IF($E20="ผสมหลายประเภท","ผสม - ต้องดูรายละเอียด","")))))))</f>
        <v/>
      </c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  <c r="S20" s="27" t="n"/>
      <c r="T20" s="27" t="n"/>
      <c r="U20" s="27" t="n"/>
      <c r="V20" s="27" t="n"/>
      <c r="W20" s="27" t="n"/>
      <c r="X20" s="27" t="n"/>
    </row>
    <row r="21" ht="40" customHeight="1">
      <c r="A21" s="26">
        <f>IF('1-UseCase ทั้งหมด'!B21="","",'1-UseCase ทั้งหมด'!A21)</f>
        <v/>
      </c>
      <c r="B21" s="26">
        <f>IF('1-UseCase ทั้งหมด'!B21="","",'1-UseCase ทั้งหมด'!B21)</f>
        <v/>
      </c>
      <c r="C21" s="26">
        <f>IF('1-UseCase ทั้งหมด'!B21="","",'1-UseCase ทั้งหมด'!D21)</f>
        <v/>
      </c>
      <c r="D21" s="23" t="n"/>
      <c r="E21" s="23" t="n"/>
      <c r="F21" s="26">
        <f>IF($E21="","",IF($E21="ข้อความ / เอกสาร","งานภาษา (LLM)",IF($E21="ภาพถ่าย","งานภาพ (Vision)",IF($E21="เสียง","งานเสียง",IF($E21="วิดีโอ","งานภาพ (Vision)",IF($E21="ตัวเลข / ตาราง","งานตัวเลข (ML)",IF($E21="ผสมหลายประเภท","ผสม - ต้องดูรายละเอียด","")))))))</f>
        <v/>
      </c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  <c r="S21" s="27" t="n"/>
      <c r="T21" s="27" t="n"/>
      <c r="U21" s="27" t="n"/>
      <c r="V21" s="27" t="n"/>
      <c r="W21" s="27" t="n"/>
      <c r="X21" s="27" t="n"/>
    </row>
    <row r="22" ht="40" customHeight="1">
      <c r="A22" s="26">
        <f>IF('1-UseCase ทั้งหมด'!B22="","",'1-UseCase ทั้งหมด'!A22)</f>
        <v/>
      </c>
      <c r="B22" s="26">
        <f>IF('1-UseCase ทั้งหมด'!B22="","",'1-UseCase ทั้งหมด'!B22)</f>
        <v/>
      </c>
      <c r="C22" s="26">
        <f>IF('1-UseCase ทั้งหมด'!B22="","",'1-UseCase ทั้งหมด'!D22)</f>
        <v/>
      </c>
      <c r="D22" s="23" t="n"/>
      <c r="E22" s="23" t="n"/>
      <c r="F22" s="26">
        <f>IF($E22="","",IF($E22="ข้อความ / เอกสาร","งานภาษา (LLM)",IF($E22="ภาพถ่าย","งานภาพ (Vision)",IF($E22="เสียง","งานเสียง",IF($E22="วิดีโอ","งานภาพ (Vision)",IF($E22="ตัวเลข / ตาราง","งานตัวเลข (ML)",IF($E22="ผสมหลายประเภท","ผสม - ต้องดูรายละเอียด","")))))))</f>
        <v/>
      </c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  <c r="S22" s="27" t="n"/>
      <c r="T22" s="27" t="n"/>
      <c r="U22" s="27" t="n"/>
      <c r="V22" s="27" t="n"/>
      <c r="W22" s="27" t="n"/>
      <c r="X22" s="27" t="n"/>
    </row>
    <row r="23" ht="40" customHeight="1">
      <c r="A23" s="26">
        <f>IF('1-UseCase ทั้งหมด'!B23="","",'1-UseCase ทั้งหมด'!A23)</f>
        <v/>
      </c>
      <c r="B23" s="26">
        <f>IF('1-UseCase ทั้งหมด'!B23="","",'1-UseCase ทั้งหมด'!B23)</f>
        <v/>
      </c>
      <c r="C23" s="26">
        <f>IF('1-UseCase ทั้งหมด'!B23="","",'1-UseCase ทั้งหมด'!D23)</f>
        <v/>
      </c>
      <c r="D23" s="23" t="n"/>
      <c r="E23" s="23" t="n"/>
      <c r="F23" s="26">
        <f>IF($E23="","",IF($E23="ข้อความ / เอกสาร","งานภาษา (LLM)",IF($E23="ภาพถ่าย","งานภาพ (Vision)",IF($E23="เสียง","งานเสียง",IF($E23="วิดีโอ","งานภาพ (Vision)",IF($E23="ตัวเลข / ตาราง","งานตัวเลข (ML)",IF($E23="ผสมหลายประเภท","ผสม - ต้องดูรายละเอียด","")))))))</f>
        <v/>
      </c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7" t="n"/>
      <c r="T23" s="27" t="n"/>
      <c r="U23" s="27" t="n"/>
      <c r="V23" s="27" t="n"/>
      <c r="W23" s="27" t="n"/>
      <c r="X23" s="27" t="n"/>
    </row>
    <row r="24" ht="40" customHeight="1">
      <c r="A24" s="26">
        <f>IF('1-UseCase ทั้งหมด'!B24="","",'1-UseCase ทั้งหมด'!A24)</f>
        <v/>
      </c>
      <c r="B24" s="26">
        <f>IF('1-UseCase ทั้งหมด'!B24="","",'1-UseCase ทั้งหมด'!B24)</f>
        <v/>
      </c>
      <c r="C24" s="26">
        <f>IF('1-UseCase ทั้งหมด'!B24="","",'1-UseCase ทั้งหมด'!D24)</f>
        <v/>
      </c>
      <c r="D24" s="23" t="n"/>
      <c r="E24" s="23" t="n"/>
      <c r="F24" s="26">
        <f>IF($E24="","",IF($E24="ข้อความ / เอกสาร","งานภาษา (LLM)",IF($E24="ภาพถ่าย","งานภาพ (Vision)",IF($E24="เสียง","งานเสียง",IF($E24="วิดีโอ","งานภาพ (Vision)",IF($E24="ตัวเลข / ตาราง","งานตัวเลข (ML)",IF($E24="ผสมหลายประเภท","ผสม - ต้องดูรายละเอียด","")))))))</f>
        <v/>
      </c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7" t="n"/>
      <c r="T24" s="27" t="n"/>
      <c r="U24" s="27" t="n"/>
      <c r="V24" s="27" t="n"/>
      <c r="W24" s="27" t="n"/>
      <c r="X24" s="27" t="n"/>
    </row>
    <row r="25" ht="40" customHeight="1">
      <c r="A25" s="26">
        <f>IF('1-UseCase ทั้งหมด'!B25="","",'1-UseCase ทั้งหมด'!A25)</f>
        <v/>
      </c>
      <c r="B25" s="26">
        <f>IF('1-UseCase ทั้งหมด'!B25="","",'1-UseCase ทั้งหมด'!B25)</f>
        <v/>
      </c>
      <c r="C25" s="26">
        <f>IF('1-UseCase ทั้งหมด'!B25="","",'1-UseCase ทั้งหมด'!D25)</f>
        <v/>
      </c>
      <c r="D25" s="23" t="n"/>
      <c r="E25" s="23" t="n"/>
      <c r="F25" s="26">
        <f>IF($E25="","",IF($E25="ข้อความ / เอกสาร","งานภาษา (LLM)",IF($E25="ภาพถ่าย","งานภาพ (Vision)",IF($E25="เสียง","งานเสียง",IF($E25="วิดีโอ","งานภาพ (Vision)",IF($E25="ตัวเลข / ตาราง","งานตัวเลข (ML)",IF($E25="ผสมหลายประเภท","ผสม - ต้องดูรายละเอียด","")))))))</f>
        <v/>
      </c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7" t="n"/>
      <c r="T25" s="27" t="n"/>
      <c r="U25" s="27" t="n"/>
      <c r="V25" s="27" t="n"/>
      <c r="W25" s="27" t="n"/>
      <c r="X25" s="27" t="n"/>
    </row>
    <row r="26" ht="40" customHeight="1">
      <c r="A26" s="26">
        <f>IF('1-UseCase ทั้งหมด'!B26="","",'1-UseCase ทั้งหมด'!A26)</f>
        <v/>
      </c>
      <c r="B26" s="26">
        <f>IF('1-UseCase ทั้งหมด'!B26="","",'1-UseCase ทั้งหมด'!B26)</f>
        <v/>
      </c>
      <c r="C26" s="26">
        <f>IF('1-UseCase ทั้งหมด'!B26="","",'1-UseCase ทั้งหมด'!D26)</f>
        <v/>
      </c>
      <c r="D26" s="23" t="n"/>
      <c r="E26" s="23" t="n"/>
      <c r="F26" s="26">
        <f>IF($E26="","",IF($E26="ข้อความ / เอกสาร","งานภาษา (LLM)",IF($E26="ภาพถ่าย","งานภาพ (Vision)",IF($E26="เสียง","งานเสียง",IF($E26="วิดีโอ","งานภาพ (Vision)",IF($E26="ตัวเลข / ตาราง","งานตัวเลข (ML)",IF($E26="ผสมหลายประเภท","ผสม - ต้องดูรายละเอียด","")))))))</f>
        <v/>
      </c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7" t="n"/>
      <c r="T26" s="27" t="n"/>
      <c r="U26" s="27" t="n"/>
      <c r="V26" s="27" t="n"/>
      <c r="W26" s="27" t="n"/>
      <c r="X26" s="27" t="n"/>
    </row>
    <row r="27" ht="40" customHeight="1">
      <c r="A27" s="26">
        <f>IF('1-UseCase ทั้งหมด'!B27="","",'1-UseCase ทั้งหมด'!A27)</f>
        <v/>
      </c>
      <c r="B27" s="26">
        <f>IF('1-UseCase ทั้งหมด'!B27="","",'1-UseCase ทั้งหมด'!B27)</f>
        <v/>
      </c>
      <c r="C27" s="26">
        <f>IF('1-UseCase ทั้งหมด'!B27="","",'1-UseCase ทั้งหมด'!D27)</f>
        <v/>
      </c>
      <c r="D27" s="23" t="n"/>
      <c r="E27" s="23" t="n"/>
      <c r="F27" s="26">
        <f>IF($E27="","",IF($E27="ข้อความ / เอกสาร","งานภาษา (LLM)",IF($E27="ภาพถ่าย","งานภาพ (Vision)",IF($E27="เสียง","งานเสียง",IF($E27="วิดีโอ","งานภาพ (Vision)",IF($E27="ตัวเลข / ตาราง","งานตัวเลข (ML)",IF($E27="ผสมหลายประเภท","ผสม - ต้องดูรายละเอียด","")))))))</f>
        <v/>
      </c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7" t="n"/>
      <c r="T27" s="27" t="n"/>
      <c r="U27" s="27" t="n"/>
      <c r="V27" s="27" t="n"/>
      <c r="W27" s="27" t="n"/>
      <c r="X27" s="27" t="n"/>
    </row>
    <row r="28" ht="40" customHeight="1">
      <c r="A28" s="26">
        <f>IF('1-UseCase ทั้งหมด'!B28="","",'1-UseCase ทั้งหมด'!A28)</f>
        <v/>
      </c>
      <c r="B28" s="26">
        <f>IF('1-UseCase ทั้งหมด'!B28="","",'1-UseCase ทั้งหมด'!B28)</f>
        <v/>
      </c>
      <c r="C28" s="26">
        <f>IF('1-UseCase ทั้งหมด'!B28="","",'1-UseCase ทั้งหมด'!D28)</f>
        <v/>
      </c>
      <c r="D28" s="23" t="n"/>
      <c r="E28" s="23" t="n"/>
      <c r="F28" s="26">
        <f>IF($E28="","",IF($E28="ข้อความ / เอกสาร","งานภาษา (LLM)",IF($E28="ภาพถ่าย","งานภาพ (Vision)",IF($E28="เสียง","งานเสียง",IF($E28="วิดีโอ","งานภาพ (Vision)",IF($E28="ตัวเลข / ตาราง","งานตัวเลข (ML)",IF($E28="ผสมหลายประเภท","ผสม - ต้องดูรายละเอียด","")))))))</f>
        <v/>
      </c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  <c r="S28" s="27" t="n"/>
      <c r="T28" s="27" t="n"/>
      <c r="U28" s="27" t="n"/>
      <c r="V28" s="27" t="n"/>
      <c r="W28" s="27" t="n"/>
      <c r="X28" s="27" t="n"/>
    </row>
    <row r="29" ht="40" customHeight="1">
      <c r="A29" s="26">
        <f>IF('1-UseCase ทั้งหมด'!B29="","",'1-UseCase ทั้งหมด'!A29)</f>
        <v/>
      </c>
      <c r="B29" s="26">
        <f>IF('1-UseCase ทั้งหมด'!B29="","",'1-UseCase ทั้งหมด'!B29)</f>
        <v/>
      </c>
      <c r="C29" s="26">
        <f>IF('1-UseCase ทั้งหมด'!B29="","",'1-UseCase ทั้งหมด'!D29)</f>
        <v/>
      </c>
      <c r="D29" s="23" t="n"/>
      <c r="E29" s="23" t="n"/>
      <c r="F29" s="26">
        <f>IF($E29="","",IF($E29="ข้อความ / เอกสาร","งานภาษา (LLM)",IF($E29="ภาพถ่าย","งานภาพ (Vision)",IF($E29="เสียง","งานเสียง",IF($E29="วิดีโอ","งานภาพ (Vision)",IF($E29="ตัวเลข / ตาราง","งานตัวเลข (ML)",IF($E29="ผสมหลายประเภท","ผสม - ต้องดูรายละเอียด","")))))))</f>
        <v/>
      </c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  <c r="S29" s="27" t="n"/>
      <c r="T29" s="27" t="n"/>
      <c r="U29" s="27" t="n"/>
      <c r="V29" s="27" t="n"/>
      <c r="W29" s="27" t="n"/>
      <c r="X29" s="27" t="n"/>
    </row>
    <row r="30" ht="40" customHeight="1">
      <c r="A30" s="26">
        <f>IF('1-UseCase ทั้งหมด'!B30="","",'1-UseCase ทั้งหมด'!A30)</f>
        <v/>
      </c>
      <c r="B30" s="26">
        <f>IF('1-UseCase ทั้งหมด'!B30="","",'1-UseCase ทั้งหมด'!B30)</f>
        <v/>
      </c>
      <c r="C30" s="26">
        <f>IF('1-UseCase ทั้งหมด'!B30="","",'1-UseCase ทั้งหมด'!D30)</f>
        <v/>
      </c>
      <c r="D30" s="23" t="n"/>
      <c r="E30" s="23" t="n"/>
      <c r="F30" s="26">
        <f>IF($E30="","",IF($E30="ข้อความ / เอกสาร","งานภาษา (LLM)",IF($E30="ภาพถ่าย","งานภาพ (Vision)",IF($E30="เสียง","งานเสียง",IF($E30="วิดีโอ","งานภาพ (Vision)",IF($E30="ตัวเลข / ตาราง","งานตัวเลข (ML)",IF($E30="ผสมหลายประเภท","ผสม - ต้องดูรายละเอียด","")))))))</f>
        <v/>
      </c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  <c r="S30" s="27" t="n"/>
      <c r="T30" s="27" t="n"/>
      <c r="U30" s="27" t="n"/>
      <c r="V30" s="27" t="n"/>
      <c r="W30" s="27" t="n"/>
      <c r="X30" s="27" t="n"/>
    </row>
    <row r="31" ht="40" customHeight="1">
      <c r="A31" s="26">
        <f>IF('1-UseCase ทั้งหมด'!B31="","",'1-UseCase ทั้งหมด'!A31)</f>
        <v/>
      </c>
      <c r="B31" s="26">
        <f>IF('1-UseCase ทั้งหมด'!B31="","",'1-UseCase ทั้งหมด'!B31)</f>
        <v/>
      </c>
      <c r="C31" s="26">
        <f>IF('1-UseCase ทั้งหมด'!B31="","",'1-UseCase ทั้งหมด'!D31)</f>
        <v/>
      </c>
      <c r="D31" s="23" t="n"/>
      <c r="E31" s="23" t="n"/>
      <c r="F31" s="26">
        <f>IF($E31="","",IF($E31="ข้อความ / เอกสาร","งานภาษา (LLM)",IF($E31="ภาพถ่าย","งานภาพ (Vision)",IF($E31="เสียง","งานเสียง",IF($E31="วิดีโอ","งานภาพ (Vision)",IF($E31="ตัวเลข / ตาราง","งานตัวเลข (ML)",IF($E31="ผสมหลายประเภท","ผสม - ต้องดูรายละเอียด","")))))))</f>
        <v/>
      </c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  <c r="S31" s="27" t="n"/>
      <c r="T31" s="27" t="n"/>
      <c r="U31" s="27" t="n"/>
      <c r="V31" s="27" t="n"/>
      <c r="W31" s="27" t="n"/>
      <c r="X31" s="27" t="n"/>
    </row>
    <row r="32" ht="40" customHeight="1">
      <c r="A32" s="26">
        <f>IF('1-UseCase ทั้งหมด'!B32="","",'1-UseCase ทั้งหมด'!A32)</f>
        <v/>
      </c>
      <c r="B32" s="26">
        <f>IF('1-UseCase ทั้งหมด'!B32="","",'1-UseCase ทั้งหมด'!B32)</f>
        <v/>
      </c>
      <c r="C32" s="26">
        <f>IF('1-UseCase ทั้งหมด'!B32="","",'1-UseCase ทั้งหมด'!D32)</f>
        <v/>
      </c>
      <c r="D32" s="23" t="n"/>
      <c r="E32" s="23" t="n"/>
      <c r="F32" s="26">
        <f>IF($E32="","",IF($E32="ข้อความ / เอกสาร","งานภาษา (LLM)",IF($E32="ภาพถ่าย","งานภาพ (Vision)",IF($E32="เสียง","งานเสียง",IF($E32="วิดีโอ","งานภาพ (Vision)",IF($E32="ตัวเลข / ตาราง","งานตัวเลข (ML)",IF($E32="ผสมหลายประเภท","ผสม - ต้องดูรายละเอียด","")))))))</f>
        <v/>
      </c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7" t="n"/>
      <c r="T32" s="27" t="n"/>
      <c r="U32" s="27" t="n"/>
      <c r="V32" s="27" t="n"/>
      <c r="W32" s="27" t="n"/>
      <c r="X32" s="27" t="n"/>
    </row>
    <row r="33" ht="40" customHeight="1">
      <c r="A33" s="26">
        <f>IF('1-UseCase ทั้งหมด'!B33="","",'1-UseCase ทั้งหมด'!A33)</f>
        <v/>
      </c>
      <c r="B33" s="26">
        <f>IF('1-UseCase ทั้งหมด'!B33="","",'1-UseCase ทั้งหมด'!B33)</f>
        <v/>
      </c>
      <c r="C33" s="26">
        <f>IF('1-UseCase ทั้งหมด'!B33="","",'1-UseCase ทั้งหมด'!D33)</f>
        <v/>
      </c>
      <c r="D33" s="23" t="n"/>
      <c r="E33" s="23" t="n"/>
      <c r="F33" s="26">
        <f>IF($E33="","",IF($E33="ข้อความ / เอกสาร","งานภาษา (LLM)",IF($E33="ภาพถ่าย","งานภาพ (Vision)",IF($E33="เสียง","งานเสียง",IF($E33="วิดีโอ","งานภาพ (Vision)",IF($E33="ตัวเลข / ตาราง","งานตัวเลข (ML)",IF($E33="ผสมหลายประเภท","ผสม - ต้องดูรายละเอียด","")))))))</f>
        <v/>
      </c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7" t="n"/>
      <c r="T33" s="27" t="n"/>
      <c r="U33" s="27" t="n"/>
      <c r="V33" s="27" t="n"/>
      <c r="W33" s="27" t="n"/>
      <c r="X33" s="27" t="n"/>
    </row>
    <row r="34" ht="40" customHeight="1">
      <c r="A34" s="26">
        <f>IF('1-UseCase ทั้งหมด'!B34="","",'1-UseCase ทั้งหมด'!A34)</f>
        <v/>
      </c>
      <c r="B34" s="26">
        <f>IF('1-UseCase ทั้งหมด'!B34="","",'1-UseCase ทั้งหมด'!B34)</f>
        <v/>
      </c>
      <c r="C34" s="26">
        <f>IF('1-UseCase ทั้งหมด'!B34="","",'1-UseCase ทั้งหมด'!D34)</f>
        <v/>
      </c>
      <c r="D34" s="23" t="n"/>
      <c r="E34" s="23" t="n"/>
      <c r="F34" s="26">
        <f>IF($E34="","",IF($E34="ข้อความ / เอกสาร","งานภาษา (LLM)",IF($E34="ภาพถ่าย","งานภาพ (Vision)",IF($E34="เสียง","งานเสียง",IF($E34="วิดีโอ","งานภาพ (Vision)",IF($E34="ตัวเลข / ตาราง","งานตัวเลข (ML)",IF($E34="ผสมหลายประเภท","ผสม - ต้องดูรายละเอียด","")))))))</f>
        <v/>
      </c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7" t="n"/>
      <c r="T34" s="27" t="n"/>
      <c r="U34" s="27" t="n"/>
      <c r="V34" s="27" t="n"/>
      <c r="W34" s="27" t="n"/>
      <c r="X34" s="27" t="n"/>
    </row>
    <row r="35" ht="40" customHeight="1">
      <c r="A35" s="26">
        <f>IF('1-UseCase ทั้งหมด'!B35="","",'1-UseCase ทั้งหมด'!A35)</f>
        <v/>
      </c>
      <c r="B35" s="26">
        <f>IF('1-UseCase ทั้งหมด'!B35="","",'1-UseCase ทั้งหมด'!B35)</f>
        <v/>
      </c>
      <c r="C35" s="26">
        <f>IF('1-UseCase ทั้งหมด'!B35="","",'1-UseCase ทั้งหมด'!D35)</f>
        <v/>
      </c>
      <c r="D35" s="23" t="n"/>
      <c r="E35" s="23" t="n"/>
      <c r="F35" s="26">
        <f>IF($E35="","",IF($E35="ข้อความ / เอกสาร","งานภาษา (LLM)",IF($E35="ภาพถ่าย","งานภาพ (Vision)",IF($E35="เสียง","งานเสียง",IF($E35="วิดีโอ","งานภาพ (Vision)",IF($E35="ตัวเลข / ตาราง","งานตัวเลข (ML)",IF($E35="ผสมหลายประเภท","ผสม - ต้องดูรายละเอียด","")))))))</f>
        <v/>
      </c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7" t="n"/>
      <c r="T35" s="27" t="n"/>
      <c r="U35" s="27" t="n"/>
      <c r="V35" s="27" t="n"/>
      <c r="W35" s="27" t="n"/>
      <c r="X35" s="27" t="n"/>
    </row>
    <row r="36" ht="40" customHeight="1">
      <c r="A36" s="26">
        <f>IF('1-UseCase ทั้งหมด'!B36="","",'1-UseCase ทั้งหมด'!A36)</f>
        <v/>
      </c>
      <c r="B36" s="26">
        <f>IF('1-UseCase ทั้งหมด'!B36="","",'1-UseCase ทั้งหมด'!B36)</f>
        <v/>
      </c>
      <c r="C36" s="26">
        <f>IF('1-UseCase ทั้งหมด'!B36="","",'1-UseCase ทั้งหมด'!D36)</f>
        <v/>
      </c>
      <c r="D36" s="23" t="n"/>
      <c r="E36" s="23" t="n"/>
      <c r="F36" s="26">
        <f>IF($E36="","",IF($E36="ข้อความ / เอกสาร","งานภาษา (LLM)",IF($E36="ภาพถ่าย","งานภาพ (Vision)",IF($E36="เสียง","งานเสียง",IF($E36="วิดีโอ","งานภาพ (Vision)",IF($E36="ตัวเลข / ตาราง","งานตัวเลข (ML)",IF($E36="ผสมหลายประเภท","ผสม - ต้องดูรายละเอียด","")))))))</f>
        <v/>
      </c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7" t="n"/>
      <c r="T36" s="27" t="n"/>
      <c r="U36" s="27" t="n"/>
      <c r="V36" s="27" t="n"/>
      <c r="W36" s="27" t="n"/>
      <c r="X36" s="27" t="n"/>
    </row>
  </sheetData>
  <mergeCells count="7">
    <mergeCell ref="D4:J4"/>
    <mergeCell ref="K4:N4"/>
    <mergeCell ref="O4:R4"/>
    <mergeCell ref="A2:X2"/>
    <mergeCell ref="S4:X4"/>
    <mergeCell ref="A1:X1"/>
    <mergeCell ref="A4:C4"/>
  </mergeCells>
  <conditionalFormatting sqref="H7:H36">
    <cfRule type="expression" priority="1" dxfId="0">
      <formula>OR(AND($G7="1 - 10 คน",OR($H7="6 - 20 คน",$H7="21 - 50 คน",$H7="มากกว่า 50 คน")),AND($G7="11 - 50 คน",OR($H7="มากกว่า 50 คน")))</formula>
    </cfRule>
  </conditionalFormatting>
  <dataValidations count="17">
    <dataValidation sqref="D7:D36" showDropDown="0" showInputMessage="1" showErrorMessage="1" allowBlank="1" errorTitle="ค่าไม่ถูกต้อง" error="กรุณาเลือกจากรายการเท่านั้น (กดลูกศรด้านขวาของช่อง)" promptTitle="ลักษณะการเริ่มทำงานของระบบ" prompt="ตอบก่อนช่องอื่น เพราะเป็นตัวบอกว่าช่องที่เหลือต้องกรอกยังไง&#10;&#10;งานที่ระบบสั่งเอง จะไม่มี 'ผู้ใช้งาน' — ให้กรอกคนที่เข้ามาดูผลแทน" type="list">
      <formula1>DATA!$AE$4:$AE$7</formula1>
    </dataValidation>
    <dataValidation sqref="E7:E36" showDropDown="0" showInputMessage="1" showErrorMessage="1" allowBlank="1" errorTitle="ค่าไม่ถูกต้อง" error="กรุณาเลือกจากรายการเท่านั้น (กดลูกศรด้านขวาของช่อง)" promptTitle="ประเภทข้อมูลนำเข้า" prompt="ข้อมูลหลักที่ AI ต้องอ่านหรือดูคืออะไร&#10;&#10;ภาพ / วิดีโอ = ต้องใช้ GPU แน่นอน&#10;ตัวเลข / ตาราง = CPU ก็เพียงพอ&#10;&#10;ช่องถัดไปจะสรุปประเภทงาน AI ให้เองจากคำตอบช่องนี้" type="list">
      <formula1>DATA!$K$4:$K$9</formula1>
    </dataValidation>
    <dataValidation sqref="G7:G36" showDropDown="0" showInputMessage="1" showErrorMessage="1" allowBlank="1" errorTitle="ค่าไม่ถูกต้อง" error="กรุณาเลือกจากรายการเท่านั้น (กดลูกศรด้านขวาของช่อง)" promptTitle="จำนวนผู้ใช้งานต่อวัน" prompt="นับคนทั้งหมดที่เข้ามาใช้ตลอดทั้งวัน ไม่ใช่พร้อมกัน&#10;&#10;ถ้าเป็นงานอัตโนมัติหรือรันตามรอบ ให้นับคนที่เข้ามาดูผล" type="list">
      <formula1>DATA!$T$4:$T$8</formula1>
    </dataValidation>
    <dataValidation sqref="H7:H36" showDropDown="0" showInputMessage="1" showErrorMessage="1" allowBlank="1" errorTitle="ค่าไม่ถูกต้อง" error="กรุณาเลือกจากรายการเท่านั้น (กดลูกศรด้านขวาของช่อง)" promptTitle="ผู้ใช้งานพร้อมกันสูงสุด" prompt="ช่วงที่คนใช้เยอะที่สุดของวัน มีกี่คนกดพร้อมกัน&#10;&#10;ต้องไม่เกินจำนวนผู้ใช้งานต่อวัน&#10;งานอัตโนมัติหรือรันตามรอบ มักเป็น 1 - 2 คน&#10;&#10;ถ้าขึ้นพื้นสีแดง = ตัวเลขดูสูงผิดปกติ ควรทบทวน" type="list">
      <formula1>DATA!$U$4:$U$8</formula1>
    </dataValidation>
    <dataValidation sqref="I7:I36" showDropDown="0" showInputMessage="1" showErrorMessage="1" allowBlank="1" errorTitle="ค่าไม่ถูกต้อง" error="กรุณาเลือกจากรายการเท่านั้น (กดลูกศรด้านขวาของช่อง)" promptTitle="ปริมาณรายการที่ประมวลผลต่อวัน" prompt="นับรายการที่ AI ต้องประมวลผลจริง ไม่ใช่จำนวนครั้งที่สั่งงาน&#10;&#10;ผู้ใช้เรียกเอง = กี่คำถาม&#10;อัตโนมัติ = กี่ชิ้น กี่ภาพ&#10;ตามรอบเวลา = กี่ล็อต กี่แถวในรอบนั้น&#10;&#10;รันคืนละครั้งแต่ประมวลผล 12,000 ล็อต = 12,000 ไม่ใช่ 1" type="list">
      <formula1>DATA!$V$4:$V$8</formula1>
    </dataValidation>
    <dataValidation sqref="J7:J36" showDropDown="0" showInputMessage="1" showErrorMessage="1" allowBlank="1" errorTitle="ค่าไม่ถูกต้อง" error="กรุณาเลือกจากรายการเท่านั้น (กดลูกศรด้านขวาของช่อง)" promptTitle="จุดตรวจที่ทำงานพร้อมกัน" prompt="นับจุดที่ต้องประมวลผลพร้อมกัน ไม่ใช่จำนวนภาพต่อวัน&#10;&#10;600 ภาพจากกล้อง 1 ตัว ใช้เครื่องเดียว&#10;600 ภาพจากกล้อง 6 ตัวที่ตรวจพร้อมกัน ต้องมี 6 สาย&#10;&#10;ช่องนี้บอกจำนวนเครื่องที่ต้องติดตั้งหน้างาน" type="list">
      <formula1>DATA!$Y$4:$Y$8</formula1>
    </dataValidation>
    <dataValidation sqref="K7:K36" showDropDown="0" showInputMessage="1" showErrorMessage="1" allowBlank="1" errorTitle="ค่าไม่ถูกต้อง" error="กรุณาเลือกจากรายการเท่านั้น (กดลูกศรด้านขวาของช่อง)" promptTitle="ภาษาที่ต้องรองรับ" prompt="เลือกจากรายการ — กดลูกศรด้านขวาของช่อง" type="list">
      <formula1>DATA!$L$4:$L$7</formula1>
    </dataValidation>
    <dataValidation sqref="L7:L36" showDropDown="0" showInputMessage="1" showErrorMessage="1" allowBlank="1" errorTitle="ค่าไม่ถูกต้อง" error="กรุณาเลือกจากรายการเท่านั้น (กดลูกศรด้านขวาของช่อง)" promptTitle="เวลาตอบสนองที่ยอมรับได้" prompt="งานนี้ต้องได้ผลลัพธ์ภายในเวลาเท่าไหร่&#10;&#10;เป็นตัวชี้ขาดว่าต้องใช้ GPU หรือ CPU เพียงพอ&#10;งานที่รอถึงรอบวันได้ ประมวลผลด้วย CPU ตอนกลางคืนได้&#10;&#10;ไม่จำเป็นต้องมีคนนั่งรอ เช่น สายพานที่ต้องคัดแยกทันที" type="list">
      <formula1>DATA!$M$4:$M$8</formula1>
    </dataValidation>
    <dataValidation sqref="M7:M36" showDropDown="0" showInputMessage="1" showErrorMessage="1" allowBlank="1" errorTitle="ค่าไม่ถูกต้อง" error="กรุณาเลือกจากรายการเท่านั้น (กดลูกศรด้านขวาของช่อง)" promptTitle="ช่วงเวลาที่ต้องให้บริการ" prompt="ช่วงเวลาที่ระบบต้องพร้อมใช้งาน&#10;&#10;ถ้าไม่ต้องเปิด 24 ชั่วโมง ปิดเครื่องนอกเวลาได้&#10;ลดค่าไฟลงเกินครึ่ง&#10;&#10;24x7 = ต้องมีเครื่องสำรองเผื่อเครื่องหลักเสีย" type="list">
      <formula1>DATA!$N$4:$N$6</formula1>
    </dataValidation>
    <dataValidation sqref="N7:N36" showDropDown="0" showInputMessage="1" showErrorMessage="1" allowBlank="1" errorTitle="ค่าไม่ถูกต้อง" error="กรุณาเลือกจากรายการเท่านั้น (กดลูกศรด้านขวาของช่อง)" promptTitle="ผลกระทบเมื่อระบบตอบสนองช้าลง" prompt="ถามผลกระทบต่องานของหน่วยงาน ไม่ใช่เรื่องเทคนิค&#10;&#10;ทีมส่วนกลางจะแปลเป็นข้อกำหนดเองว่าต้องมี GPU แยกหรือแชร์ได้&#10;&#10;งานในสายการผลิตที่หยุดไม่ได้ ให้เลือก กระทบมาก" type="list">
      <formula1>DATA!$AD$4:$AD$7</formula1>
    </dataValidation>
    <dataValidation sqref="O7:O36" showDropDown="0" showInputMessage="1" showErrorMessage="1" allowBlank="1" errorTitle="ค่าไม่ถูกต้อง" error="กรุณาเลือกจากรายการเท่านั้น (กดลูกศรด้านขวาของช่อง)" promptTitle="ระยะเวลาการจัดเก็บข้อมูล" prompt="เก็บข้อมูลที่เกิดใหม่ไว้นานแค่ไหน&#10;ตามข้อกำหนดของลูกค้าหรือกฎหมาย&#10;&#10;คูณกับปริมาณข้อมูลนำเข้าต่อวัน = storage ที่ต้องซื้อ&#10;10 GB/วัน เก็บ 1 ปี = 3.6 TB  |  เก็บ 5 ปี = 18 TB" type="list">
      <formula1>DATA!$AB$4:$AB$7</formula1>
    </dataValidation>
    <dataValidation sqref="S7:S36" showDropDown="0" showInputMessage="1" showErrorMessage="1" allowBlank="1" errorTitle="ค่าไม่ถูกต้อง" error="กรุณาเลือกจากรายการเท่านั้น (กดลูกศรด้านขวาของช่อง)" promptTitle="ปริมาณข้อมูลนำเข้าต่อวัน" prompt="ข้อมูลใหม่ที่เกิดขึ้นต่อวัน ไม่ใช่ข้อมูลเดิมที่มีอยู่&#10;เปรียบเหมือนน้ำที่ไหลเข้าถังทุกวัน&#10;&#10;งานภาพจะสูง งานเอกสารจะต่ำ&#10;คูณกับระยะเวลาการจัดเก็บ = storage ที่ต้องซื้อ" type="list">
      <formula1>DATA!$W$4:$W$7</formula1>
    </dataValidation>
    <dataValidation sqref="T7:T36" showDropDown="0" showInputMessage="1" showErrorMessage="1" allowBlank="1" errorTitle="ค่าไม่ถูกต้อง" error="กรุณาเลือกจากรายการเท่านั้น (กดลูกศรด้านขวาของช่อง)" promptTitle="ขนาดคลังเอกสารทั้งหมด" prompt="กองเอกสารเดิมทั้งหมดที่ให้ AI ค้นหา&#10;ไม่ใช่ข้อมูลใหม่ที่เกิดต่อวัน&#10;เปรียบเหมือนขนาดถังที่มีน้ำอยู่แล้ว&#10;&#10;งานสืบค้นเอกสารจะสูง งานภาพเลือก ไม่เกี่ยวข้อง&#10;ใช้กำหนด RAM และขนาดฐานข้อมูลค้นหา" type="list">
      <formula1>DATA!$X$4:$X$8</formula1>
    </dataValidation>
    <dataValidation sqref="U7:U36" showDropDown="0" showInputMessage="1" showErrorMessage="1" allowBlank="1" errorTitle="ค่าไม่ถูกต้อง" error="กรุณาเลือกจากรายการเท่านั้น (กดลูกศรด้านขวาของช่อง)" promptTitle="ความละเอียดของภาพ" prompt="ความละเอียดของภาพจากกล้องที่จะใช้&#10;&#10;ยิ่งละเอียด ยิ่งใช้ VRAM มาก&#10;ถ้าไม่ใช่งานประมวลผลภาพ เลือก ไม่เกี่ยวข้อง" type="list">
      <formula1>DATA!$O$4:$O$8</formula1>
    </dataValidation>
    <dataValidation sqref="V7:V36" showDropDown="0" showInputMessage="1" showErrorMessage="1" allowBlank="1" errorTitle="ค่าไม่ถูกต้อง" error="กรุณาเลือกจากรายการเท่านั้น (กดลูกศรด้านขวาของช่อง)" promptTitle="รูปแบบการติดตั้ง" prompt="รันที่ Server ของที่ตั้ง หรือต้องมีเครื่องข้างเครื่องจักร&#10;&#10;งานที่ต้องตัดสินใจทันทีในสายการผลิต ต้องติดตั้งหน้างาน&#10;เพราะรอส่งข้อมูลไปกลับไม่ทัน และต้องต่อกับแขนคัดแยกหรือ PLC" type="list">
      <formula1>DATA!$Z$4:$Z$6</formula1>
    </dataValidation>
    <dataValidation sqref="W7:W36" showDropDown="0" showInputMessage="1" showErrorMessage="1" allowBlank="1" errorTitle="ค่าไม่ถูกต้อง" error="กรุณาเลือกจากรายการเท่านั้น (กดลูกศรด้านขวาของช่อง)" promptTitle="การปรับโมเดลด้วยข้อมูลองค์กร" prompt="สำเร็จรูป = งานความรู้ทั่วไป ใช้ได้ทันที&#10;RAG = ให้อ่านเอกสารองค์กร ไม่ต้องฝึกโมเดล&#10;Fine-tune = สอนด้วยข้อมูลหรือภาพของเราเอง ต้องมี GPU ฝึก&#10;&#10;งานเอกสารส่วนใหญ่ควรเลือก RAG ไม่ใช่ Fine-tune" type="list">
      <formula1>DATA!$Q$4:$Q$7</formula1>
    </dataValidation>
    <dataValidation sqref="X7:X36" showDropDown="0" showInputMessage="1" showErrorMessage="1" allowBlank="1" errorTitle="ค่าไม่ถูกต้อง" error="กรุณาเลือกจากรายการเท่านั้น (กดลูกศรด้านขวาของช่อง)" promptTitle="ความถี่ในการฝึกโมเดลใหม่" prompt="ไม่ต้องฝึก = ใช้โมเดลสำเร็จรูปหรือ RAG&#10;ครั้งเดียว = ยังต้องฝึก 1 ครั้ง ต้องหา GPU มาฝึก&#10;ถี่กว่าเดือนละครั้ง = ควรมี GPU สำหรับฝึกแยกต่างหาก" type="list">
      <formula1>DATA!$AC$4:$AC$9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1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9" customWidth="1" min="14" max="14"/>
    <col width="9" customWidth="1" min="15" max="15"/>
    <col width="9" customWidth="1" min="16" max="16"/>
    <col width="10" customWidth="1" min="17" max="17"/>
    <col width="13" customWidth="1" min="18" max="18"/>
    <col width="16" customWidth="1" min="19" max="19"/>
    <col width="9" customWidth="1" min="20" max="20"/>
    <col width="14" customWidth="1" min="21" max="21"/>
  </cols>
  <sheetData>
    <row r="1" ht="28" customHeight="1">
      <c r="A1" s="1" t="inlineStr">
        <is>
          <t>ชั้นที่ 3 : คะแนนและลำดับความสำคัญ   (ระบบคำนวณให้อัตโนมัติ — ห้ามพิมพ์ทับ)</t>
        </is>
      </c>
    </row>
    <row r="2" ht="22" customHeight="1">
      <c r="A2" s="6" t="inlineStr">
        <is>
          <t>ทุกช่องในหน้านี้เป็นสูตร ดึงข้อมูลจาก sheet '1-UseCase ทั้งหมด' อัตโนมัติ  |  แถวสีเทา (แถวที่ 6) คือคะแนนของ Use Case ตัวอย่าง ไม่นับเข้าการจัดอันดับ  |  ถ้าอยากปรับน้ำหนักคะแนนหรือเกณฑ์แบ่งระดับ ให้ไปแก้ที่ sheet 'DATA' คอลัมน์ AH-AI (ตัวเลขสีน้ำเงิน)</t>
        </is>
      </c>
    </row>
    <row r="4" ht="20" customHeight="1">
      <c r="A4" s="7" t="inlineStr">
        <is>
          <t>ข้อมูล Use Case</t>
        </is>
      </c>
      <c r="B4" s="8" t="n"/>
      <c r="C4" s="8" t="n"/>
      <c r="D4" s="11" t="inlineStr">
        <is>
          <t>Impact 35%</t>
        </is>
      </c>
      <c r="E4" s="12" t="n"/>
      <c r="F4" s="12" t="n"/>
      <c r="G4" s="13" t="inlineStr">
        <is>
          <t>Data 25%</t>
        </is>
      </c>
      <c r="H4" s="14" t="n"/>
      <c r="I4" s="14" t="n"/>
      <c r="J4" s="14" t="n"/>
      <c r="K4" s="15" t="inlineStr">
        <is>
          <t>Feasibility 25%</t>
        </is>
      </c>
      <c r="L4" s="16" t="n"/>
      <c r="M4" s="16" t="n"/>
      <c r="N4" s="17" t="inlineStr">
        <is>
          <t>Risk 15% (กลับด้าน)</t>
        </is>
      </c>
      <c r="O4" s="18" t="n"/>
      <c r="P4" s="18" t="n"/>
      <c r="Q4" s="18" t="n"/>
      <c r="R4" s="28" t="inlineStr">
        <is>
          <t>ผลลัพธ์</t>
        </is>
      </c>
      <c r="S4" s="29" t="n"/>
      <c r="T4" s="29" t="n"/>
      <c r="U4" s="29" t="n"/>
    </row>
    <row r="5" ht="48" customHeight="1">
      <c r="A5" s="21" t="inlineStr">
        <is>
          <t>No.</t>
        </is>
      </c>
      <c r="B5" s="21" t="inlineStr">
        <is>
          <t>ชื่อ Use Case</t>
        </is>
      </c>
      <c r="C5" s="21" t="inlineStr">
        <is>
          <t>ฝ่าย / แผนก</t>
        </is>
      </c>
      <c r="D5" s="21" t="inlineStr">
        <is>
          <t>ชม./สัปดาห์
-&gt; คะแนน</t>
        </is>
      </c>
      <c r="E5" s="21" t="inlineStr">
        <is>
          <t>มูลค่าเสียหาย
-&gt; คะแนน</t>
        </is>
      </c>
      <c r="F5" s="21" t="inlineStr">
        <is>
          <t>Impact
(1-5)</t>
        </is>
      </c>
      <c r="G5" s="21" t="inlineStr">
        <is>
          <t>รูปแบบ
ข้อมูล</t>
        </is>
      </c>
      <c r="H5" s="21" t="inlineStr">
        <is>
          <t>ย้อนหลัง</t>
        </is>
      </c>
      <c r="I5" s="21" t="inlineStr">
        <is>
          <t>สิทธิ์ใช้
ข้อมูล</t>
        </is>
      </c>
      <c r="J5" s="21" t="inlineStr">
        <is>
          <t>Data
(1-5)</t>
        </is>
      </c>
      <c r="K5" s="21" t="inlineStr">
        <is>
          <t>ระบบเดิม</t>
        </is>
      </c>
      <c r="L5" s="21" t="inlineStr">
        <is>
          <t>คนดูแล
ต่อ</t>
        </is>
      </c>
      <c r="M5" s="21" t="inlineStr">
        <is>
          <t>Feasibility
(1-5)</t>
        </is>
      </c>
      <c r="N5" s="21" t="inlineStr">
        <is>
          <t>AI ผิด</t>
        </is>
      </c>
      <c r="O5" s="21" t="inlineStr">
        <is>
          <t>ตรวจซ้ำ</t>
        </is>
      </c>
      <c r="P5" s="21" t="inlineStr">
        <is>
          <t>ความลับ</t>
        </is>
      </c>
      <c r="Q5" s="21" t="inlineStr">
        <is>
          <t>Risk
(1-5)</t>
        </is>
      </c>
      <c r="R5" s="21" t="inlineStr">
        <is>
          <t>คะแนนรวม
(20-100)</t>
        </is>
      </c>
      <c r="S5" s="21" t="inlineStr">
        <is>
          <t>ระดับ</t>
        </is>
      </c>
      <c r="T5" s="21" t="inlineStr">
        <is>
          <t>อันดับ</t>
        </is>
      </c>
      <c r="U5" s="21" t="inlineStr">
        <is>
          <t>ช่องบังคับที่ยัง
ไม่ได้กรอก
(0 = ครบ)</t>
        </is>
      </c>
    </row>
    <row r="6" ht="22" customHeight="1">
      <c r="A6" s="30">
        <f>IF('1-UseCase ทั้งหมด'!B6="","",'1-UseCase ทั้งหมด'!A6)</f>
        <v/>
      </c>
      <c r="B6" s="30">
        <f>IF('1-UseCase ทั้งหมด'!B6="","",'1-UseCase ทั้งหมด'!B6)</f>
        <v/>
      </c>
      <c r="C6" s="30">
        <f>IF('1-UseCase ทั้งหมด'!B6="","",'1-UseCase ทั้งหมด'!D6)</f>
        <v/>
      </c>
      <c r="D6" s="31">
        <f>IF('1-UseCase ทั้งหมด'!B6="","",IFERROR(INDEX(DATA!$R$30:$R$34,MATCH('1-UseCase ทั้งหมด'!L6,DATA!$R$4:$R$8,0)),""))</f>
        <v/>
      </c>
      <c r="E6" s="31">
        <f>IF('1-UseCase ทั้งหมด'!B6="","",IFERROR(INDEX(DATA!$S$30:$S$34,MATCH('1-UseCase ทั้งหมด'!M6,DATA!$S$4:$S$8,0)),""))</f>
        <v/>
      </c>
      <c r="F6" s="32">
        <f>IF('1-UseCase ทั้งหมด'!B6="","",IF(D6="",IF(AND(E6&lt;&gt;"",E6&lt;&gt;"-"),E6,""),IF(AND(E6&lt;&gt;"",E6&lt;&gt;"-"),ROUND((D6+E6)/2,0),D6)))</f>
        <v/>
      </c>
      <c r="G6" s="31">
        <f>IF('1-UseCase ทั้งหมด'!B6="","",IFERROR(INDEX(DATA!$B$30:$B$35,MATCH('1-UseCase ทั้งหมด'!O6,DATA!$B$4:$B$9,0)),""))</f>
        <v/>
      </c>
      <c r="H6" s="31">
        <f>IF('1-UseCase ทั้งหมด'!B6="","",IFERROR(INDEX(DATA!$C$30:$C$33,MATCH('1-UseCase ทั้งหมด'!P6,DATA!$C$4:$C$7,0)),""))</f>
        <v/>
      </c>
      <c r="I6" s="31">
        <f>IF('1-UseCase ทั้งหมด'!B6="","",IFERROR(INDEX(DATA!$D$30:$D$32,MATCH('1-UseCase ทั้งหมด'!R6,DATA!$D$4:$D$6,0)),""))</f>
        <v/>
      </c>
      <c r="J6" s="32">
        <f>IF('1-UseCase ทั้งหมด'!B6="","",IFERROR(ROUND(AVERAGE(G6:I6),0),""))</f>
        <v/>
      </c>
      <c r="K6" s="31">
        <f>IF('1-UseCase ทั้งหมด'!B6="","",IFERROR(INDEX(DATA!$E$30:$E$33,MATCH('1-UseCase ทั้งหมด'!S6,DATA!$E$4:$E$7,0)),""))</f>
        <v/>
      </c>
      <c r="L6" s="31">
        <f>IF('1-UseCase ทั้งหมด'!B6="","",IFERROR(INDEX(DATA!$F$30:$F$32,MATCH('1-UseCase ทั้งหมด'!T6,DATA!$F$4:$F$6,0)),""))</f>
        <v/>
      </c>
      <c r="M6" s="32">
        <f>IF('1-UseCase ทั้งหมด'!B6="","",IFERROR(ROUND(AVERAGE(K6:L6),0),""))</f>
        <v/>
      </c>
      <c r="N6" s="31">
        <f>IF('1-UseCase ทั้งหมด'!B6="","",IFERROR(INDEX(DATA!$G$30:$G$32,MATCH('1-UseCase ทั้งหมด'!U6,DATA!$G$4:$G$6,0)),""))</f>
        <v/>
      </c>
      <c r="O6" s="31">
        <f>IF('1-UseCase ทั้งหมด'!B6="","",IFERROR(INDEX(DATA!$H$30:$H$32,MATCH('1-UseCase ทั้งหมด'!V6,DATA!$H$4:$H$6,0)),""))</f>
        <v/>
      </c>
      <c r="P6" s="31">
        <f>IF('1-UseCase ทั้งหมด'!B6="","",IFERROR(INDEX(DATA!$I$30:$I$33,MATCH('1-UseCase ทั้งหมด'!W6,DATA!$I$4:$I$7,0)),""))</f>
        <v/>
      </c>
      <c r="Q6" s="32">
        <f>IF('1-UseCase ทั้งหมด'!B6="","",IFERROR(ROUND(AVERAGE(N6:P6),0),""))</f>
        <v/>
      </c>
      <c r="R6" s="33">
        <f>IF('1-UseCase ทั้งหมด'!B6="","",IF(U6&gt;0,"",IFERROR(ROUND((F6*DATA!$AI$4+M6*DATA!$AI$5+J6*DATA!$AI$6+(6-Q6)*DATA!$AI$7)*20,1),"")))</f>
        <v/>
      </c>
      <c r="S6" s="32">
        <f>IF('1-UseCase ทั้งหมด'!B6="","",IF(U6&gt;0,"ข้อมูลไม่ครบ",IF(R6="","",IF(R6&gt;=DATA!$AI$10,"สูง",IF(R6&gt;=DATA!$AI$11,"กลาง","ต่ำ")))))</f>
        <v/>
      </c>
      <c r="T6" s="31" t="inlineStr">
        <is>
          <t>ตัวอย่าง</t>
        </is>
      </c>
      <c r="U6" s="31">
        <f>IF('1-UseCase ทั้งหมด'!B6="","",COUNTBLANK('1-UseCase ทั้งหมด'!L6)+COUNTBLANK('1-UseCase ทั้งหมด'!M6)+COUNTBLANK('1-UseCase ทั้งหมด'!O6)+COUNTBLANK('1-UseCase ทั้งหมด'!P6)+COUNTBLANK('1-UseCase ทั้งหมด'!R6)+COUNTBLANK('1-UseCase ทั้งหมด'!S6)+COUNTBLANK('1-UseCase ทั้งหมด'!T6)+COUNTBLANK('1-UseCase ทั้งหมด'!U6)+COUNTBLANK('1-UseCase ทั้งหมด'!V6)+COUNTBLANK('1-UseCase ทั้งหมด'!W6))</f>
        <v/>
      </c>
    </row>
    <row r="7" ht="22" customHeight="1">
      <c r="A7" s="26">
        <f>IF('1-UseCase ทั้งหมด'!B7="","",'1-UseCase ทั้งหมด'!A7)</f>
        <v/>
      </c>
      <c r="B7" s="26">
        <f>IF('1-UseCase ทั้งหมด'!B7="","",'1-UseCase ทั้งหมด'!B7)</f>
        <v/>
      </c>
      <c r="C7" s="26">
        <f>IF('1-UseCase ทั้งหมด'!B7="","",'1-UseCase ทั้งหมด'!D7)</f>
        <v/>
      </c>
      <c r="D7" s="34">
        <f>IF('1-UseCase ทั้งหมด'!B7="","",IFERROR(INDEX(DATA!$R$30:$R$34,MATCH('1-UseCase ทั้งหมด'!L7,DATA!$R$4:$R$8,0)),""))</f>
        <v/>
      </c>
      <c r="E7" s="34">
        <f>IF('1-UseCase ทั้งหมด'!B7="","",IFERROR(INDEX(DATA!$S$30:$S$34,MATCH('1-UseCase ทั้งหมด'!M7,DATA!$S$4:$S$8,0)),""))</f>
        <v/>
      </c>
      <c r="F7" s="35">
        <f>IF('1-UseCase ทั้งหมด'!B7="","",IF(D7="",IF(AND(E7&lt;&gt;"",E7&lt;&gt;"-"),E7,""),IF(AND(E7&lt;&gt;"",E7&lt;&gt;"-"),ROUND((D7+E7)/2,0),D7)))</f>
        <v/>
      </c>
      <c r="G7" s="34">
        <f>IF('1-UseCase ทั้งหมด'!B7="","",IFERROR(INDEX(DATA!$B$30:$B$35,MATCH('1-UseCase ทั้งหมด'!O7,DATA!$B$4:$B$9,0)),""))</f>
        <v/>
      </c>
      <c r="H7" s="34">
        <f>IF('1-UseCase ทั้งหมด'!B7="","",IFERROR(INDEX(DATA!$C$30:$C$33,MATCH('1-UseCase ทั้งหมด'!P7,DATA!$C$4:$C$7,0)),""))</f>
        <v/>
      </c>
      <c r="I7" s="34">
        <f>IF('1-UseCase ทั้งหมด'!B7="","",IFERROR(INDEX(DATA!$D$30:$D$32,MATCH('1-UseCase ทั้งหมด'!R7,DATA!$D$4:$D$6,0)),""))</f>
        <v/>
      </c>
      <c r="J7" s="35">
        <f>IF('1-UseCase ทั้งหมด'!B7="","",IFERROR(ROUND(AVERAGE(G7:I7),0),""))</f>
        <v/>
      </c>
      <c r="K7" s="34">
        <f>IF('1-UseCase ทั้งหมด'!B7="","",IFERROR(INDEX(DATA!$E$30:$E$33,MATCH('1-UseCase ทั้งหมด'!S7,DATA!$E$4:$E$7,0)),""))</f>
        <v/>
      </c>
      <c r="L7" s="34">
        <f>IF('1-UseCase ทั้งหมด'!B7="","",IFERROR(INDEX(DATA!$F$30:$F$32,MATCH('1-UseCase ทั้งหมด'!T7,DATA!$F$4:$F$6,0)),""))</f>
        <v/>
      </c>
      <c r="M7" s="35">
        <f>IF('1-UseCase ทั้งหมด'!B7="","",IFERROR(ROUND(AVERAGE(K7:L7),0),""))</f>
        <v/>
      </c>
      <c r="N7" s="34">
        <f>IF('1-UseCase ทั้งหมด'!B7="","",IFERROR(INDEX(DATA!$G$30:$G$32,MATCH('1-UseCase ทั้งหมด'!U7,DATA!$G$4:$G$6,0)),""))</f>
        <v/>
      </c>
      <c r="O7" s="34">
        <f>IF('1-UseCase ทั้งหมด'!B7="","",IFERROR(INDEX(DATA!$H$30:$H$32,MATCH('1-UseCase ทั้งหมด'!V7,DATA!$H$4:$H$6,0)),""))</f>
        <v/>
      </c>
      <c r="P7" s="34">
        <f>IF('1-UseCase ทั้งหมด'!B7="","",IFERROR(INDEX(DATA!$I$30:$I$33,MATCH('1-UseCase ทั้งหมด'!W7,DATA!$I$4:$I$7,0)),""))</f>
        <v/>
      </c>
      <c r="Q7" s="35">
        <f>IF('1-UseCase ทั้งหมด'!B7="","",IFERROR(ROUND(AVERAGE(N7:P7),0),""))</f>
        <v/>
      </c>
      <c r="R7" s="36">
        <f>IF('1-UseCase ทั้งหมด'!B7="","",IF(U7&gt;0,"",IFERROR(ROUND((F7*DATA!$AI$4+M7*DATA!$AI$5+J7*DATA!$AI$6+(6-Q7)*DATA!$AI$7)*20,1),"")))</f>
        <v/>
      </c>
      <c r="S7" s="35">
        <f>IF('1-UseCase ทั้งหมด'!B7="","",IF(U7&gt;0,"ข้อมูลไม่ครบ",IF(R7="","",IF(R7&gt;=DATA!$AI$10,"สูง",IF(R7&gt;=DATA!$AI$11,"กลาง","ต่ำ")))))</f>
        <v/>
      </c>
      <c r="T7" s="35">
        <f>IF('1-UseCase ทั้งหมด'!B7="","",IF(R7="","",RANK(R7,$R$7:$R$36,0)))</f>
        <v/>
      </c>
      <c r="U7" s="34">
        <f>IF('1-UseCase ทั้งหมด'!B7="","",COUNTBLANK('1-UseCase ทั้งหมด'!L7)+COUNTBLANK('1-UseCase ทั้งหมด'!M7)+COUNTBLANK('1-UseCase ทั้งหมด'!O7)+COUNTBLANK('1-UseCase ทั้งหมด'!P7)+COUNTBLANK('1-UseCase ทั้งหมด'!R7)+COUNTBLANK('1-UseCase ทั้งหมด'!S7)+COUNTBLANK('1-UseCase ทั้งหมด'!T7)+COUNTBLANK('1-UseCase ทั้งหมด'!U7)+COUNTBLANK('1-UseCase ทั้งหมด'!V7)+COUNTBLANK('1-UseCase ทั้งหมด'!W7))</f>
        <v/>
      </c>
    </row>
    <row r="8" ht="22" customHeight="1">
      <c r="A8" s="26">
        <f>IF('1-UseCase ทั้งหมด'!B8="","",'1-UseCase ทั้งหมด'!A8)</f>
        <v/>
      </c>
      <c r="B8" s="26">
        <f>IF('1-UseCase ทั้งหมด'!B8="","",'1-UseCase ทั้งหมด'!B8)</f>
        <v/>
      </c>
      <c r="C8" s="26">
        <f>IF('1-UseCase ทั้งหมด'!B8="","",'1-UseCase ทั้งหมด'!D8)</f>
        <v/>
      </c>
      <c r="D8" s="34">
        <f>IF('1-UseCase ทั้งหมด'!B8="","",IFERROR(INDEX(DATA!$R$30:$R$34,MATCH('1-UseCase ทั้งหมด'!L8,DATA!$R$4:$R$8,0)),""))</f>
        <v/>
      </c>
      <c r="E8" s="34">
        <f>IF('1-UseCase ทั้งหมด'!B8="","",IFERROR(INDEX(DATA!$S$30:$S$34,MATCH('1-UseCase ทั้งหมด'!M8,DATA!$S$4:$S$8,0)),""))</f>
        <v/>
      </c>
      <c r="F8" s="35">
        <f>IF('1-UseCase ทั้งหมด'!B8="","",IF(D8="",IF(AND(E8&lt;&gt;"",E8&lt;&gt;"-"),E8,""),IF(AND(E8&lt;&gt;"",E8&lt;&gt;"-"),ROUND((D8+E8)/2,0),D8)))</f>
        <v/>
      </c>
      <c r="G8" s="34">
        <f>IF('1-UseCase ทั้งหมด'!B8="","",IFERROR(INDEX(DATA!$B$30:$B$35,MATCH('1-UseCase ทั้งหมด'!O8,DATA!$B$4:$B$9,0)),""))</f>
        <v/>
      </c>
      <c r="H8" s="34">
        <f>IF('1-UseCase ทั้งหมด'!B8="","",IFERROR(INDEX(DATA!$C$30:$C$33,MATCH('1-UseCase ทั้งหมด'!P8,DATA!$C$4:$C$7,0)),""))</f>
        <v/>
      </c>
      <c r="I8" s="34">
        <f>IF('1-UseCase ทั้งหมด'!B8="","",IFERROR(INDEX(DATA!$D$30:$D$32,MATCH('1-UseCase ทั้งหมด'!R8,DATA!$D$4:$D$6,0)),""))</f>
        <v/>
      </c>
      <c r="J8" s="35">
        <f>IF('1-UseCase ทั้งหมด'!B8="","",IFERROR(ROUND(AVERAGE(G8:I8),0),""))</f>
        <v/>
      </c>
      <c r="K8" s="34">
        <f>IF('1-UseCase ทั้งหมด'!B8="","",IFERROR(INDEX(DATA!$E$30:$E$33,MATCH('1-UseCase ทั้งหมด'!S8,DATA!$E$4:$E$7,0)),""))</f>
        <v/>
      </c>
      <c r="L8" s="34">
        <f>IF('1-UseCase ทั้งหมด'!B8="","",IFERROR(INDEX(DATA!$F$30:$F$32,MATCH('1-UseCase ทั้งหมด'!T8,DATA!$F$4:$F$6,0)),""))</f>
        <v/>
      </c>
      <c r="M8" s="35">
        <f>IF('1-UseCase ทั้งหมด'!B8="","",IFERROR(ROUND(AVERAGE(K8:L8),0),""))</f>
        <v/>
      </c>
      <c r="N8" s="34">
        <f>IF('1-UseCase ทั้งหมด'!B8="","",IFERROR(INDEX(DATA!$G$30:$G$32,MATCH('1-UseCase ทั้งหมด'!U8,DATA!$G$4:$G$6,0)),""))</f>
        <v/>
      </c>
      <c r="O8" s="34">
        <f>IF('1-UseCase ทั้งหมด'!B8="","",IFERROR(INDEX(DATA!$H$30:$H$32,MATCH('1-UseCase ทั้งหมด'!V8,DATA!$H$4:$H$6,0)),""))</f>
        <v/>
      </c>
      <c r="P8" s="34">
        <f>IF('1-UseCase ทั้งหมด'!B8="","",IFERROR(INDEX(DATA!$I$30:$I$33,MATCH('1-UseCase ทั้งหมด'!W8,DATA!$I$4:$I$7,0)),""))</f>
        <v/>
      </c>
      <c r="Q8" s="35">
        <f>IF('1-UseCase ทั้งหมด'!B8="","",IFERROR(ROUND(AVERAGE(N8:P8),0),""))</f>
        <v/>
      </c>
      <c r="R8" s="36">
        <f>IF('1-UseCase ทั้งหมด'!B8="","",IF(U8&gt;0,"",IFERROR(ROUND((F8*DATA!$AI$4+M8*DATA!$AI$5+J8*DATA!$AI$6+(6-Q8)*DATA!$AI$7)*20,1),"")))</f>
        <v/>
      </c>
      <c r="S8" s="35">
        <f>IF('1-UseCase ทั้งหมด'!B8="","",IF(U8&gt;0,"ข้อมูลไม่ครบ",IF(R8="","",IF(R8&gt;=DATA!$AI$10,"สูง",IF(R8&gt;=DATA!$AI$11,"กลาง","ต่ำ")))))</f>
        <v/>
      </c>
      <c r="T8" s="35">
        <f>IF('1-UseCase ทั้งหมด'!B8="","",IF(R8="","",RANK(R8,$R$7:$R$36,0)))</f>
        <v/>
      </c>
      <c r="U8" s="34">
        <f>IF('1-UseCase ทั้งหมด'!B8="","",COUNTBLANK('1-UseCase ทั้งหมด'!L8)+COUNTBLANK('1-UseCase ทั้งหมด'!M8)+COUNTBLANK('1-UseCase ทั้งหมด'!O8)+COUNTBLANK('1-UseCase ทั้งหมด'!P8)+COUNTBLANK('1-UseCase ทั้งหมด'!R8)+COUNTBLANK('1-UseCase ทั้งหมด'!S8)+COUNTBLANK('1-UseCase ทั้งหมด'!T8)+COUNTBLANK('1-UseCase ทั้งหมด'!U8)+COUNTBLANK('1-UseCase ทั้งหมด'!V8)+COUNTBLANK('1-UseCase ทั้งหมด'!W8))</f>
        <v/>
      </c>
    </row>
    <row r="9" ht="22" customHeight="1">
      <c r="A9" s="26">
        <f>IF('1-UseCase ทั้งหมด'!B9="","",'1-UseCase ทั้งหมด'!A9)</f>
        <v/>
      </c>
      <c r="B9" s="26">
        <f>IF('1-UseCase ทั้งหมด'!B9="","",'1-UseCase ทั้งหมด'!B9)</f>
        <v/>
      </c>
      <c r="C9" s="26">
        <f>IF('1-UseCase ทั้งหมด'!B9="","",'1-UseCase ทั้งหมด'!D9)</f>
        <v/>
      </c>
      <c r="D9" s="34">
        <f>IF('1-UseCase ทั้งหมด'!B9="","",IFERROR(INDEX(DATA!$R$30:$R$34,MATCH('1-UseCase ทั้งหมด'!L9,DATA!$R$4:$R$8,0)),""))</f>
        <v/>
      </c>
      <c r="E9" s="34">
        <f>IF('1-UseCase ทั้งหมด'!B9="","",IFERROR(INDEX(DATA!$S$30:$S$34,MATCH('1-UseCase ทั้งหมด'!M9,DATA!$S$4:$S$8,0)),""))</f>
        <v/>
      </c>
      <c r="F9" s="35">
        <f>IF('1-UseCase ทั้งหมด'!B9="","",IF(D9="",IF(AND(E9&lt;&gt;"",E9&lt;&gt;"-"),E9,""),IF(AND(E9&lt;&gt;"",E9&lt;&gt;"-"),ROUND((D9+E9)/2,0),D9)))</f>
        <v/>
      </c>
      <c r="G9" s="34">
        <f>IF('1-UseCase ทั้งหมด'!B9="","",IFERROR(INDEX(DATA!$B$30:$B$35,MATCH('1-UseCase ทั้งหมด'!O9,DATA!$B$4:$B$9,0)),""))</f>
        <v/>
      </c>
      <c r="H9" s="34">
        <f>IF('1-UseCase ทั้งหมด'!B9="","",IFERROR(INDEX(DATA!$C$30:$C$33,MATCH('1-UseCase ทั้งหมด'!P9,DATA!$C$4:$C$7,0)),""))</f>
        <v/>
      </c>
      <c r="I9" s="34">
        <f>IF('1-UseCase ทั้งหมด'!B9="","",IFERROR(INDEX(DATA!$D$30:$D$32,MATCH('1-UseCase ทั้งหมด'!R9,DATA!$D$4:$D$6,0)),""))</f>
        <v/>
      </c>
      <c r="J9" s="35">
        <f>IF('1-UseCase ทั้งหมด'!B9="","",IFERROR(ROUND(AVERAGE(G9:I9),0),""))</f>
        <v/>
      </c>
      <c r="K9" s="34">
        <f>IF('1-UseCase ทั้งหมด'!B9="","",IFERROR(INDEX(DATA!$E$30:$E$33,MATCH('1-UseCase ทั้งหมด'!S9,DATA!$E$4:$E$7,0)),""))</f>
        <v/>
      </c>
      <c r="L9" s="34">
        <f>IF('1-UseCase ทั้งหมด'!B9="","",IFERROR(INDEX(DATA!$F$30:$F$32,MATCH('1-UseCase ทั้งหมด'!T9,DATA!$F$4:$F$6,0)),""))</f>
        <v/>
      </c>
      <c r="M9" s="35">
        <f>IF('1-UseCase ทั้งหมด'!B9="","",IFERROR(ROUND(AVERAGE(K9:L9),0),""))</f>
        <v/>
      </c>
      <c r="N9" s="34">
        <f>IF('1-UseCase ทั้งหมด'!B9="","",IFERROR(INDEX(DATA!$G$30:$G$32,MATCH('1-UseCase ทั้งหมด'!U9,DATA!$G$4:$G$6,0)),""))</f>
        <v/>
      </c>
      <c r="O9" s="34">
        <f>IF('1-UseCase ทั้งหมด'!B9="","",IFERROR(INDEX(DATA!$H$30:$H$32,MATCH('1-UseCase ทั้งหมด'!V9,DATA!$H$4:$H$6,0)),""))</f>
        <v/>
      </c>
      <c r="P9" s="34">
        <f>IF('1-UseCase ทั้งหมด'!B9="","",IFERROR(INDEX(DATA!$I$30:$I$33,MATCH('1-UseCase ทั้งหมด'!W9,DATA!$I$4:$I$7,0)),""))</f>
        <v/>
      </c>
      <c r="Q9" s="35">
        <f>IF('1-UseCase ทั้งหมด'!B9="","",IFERROR(ROUND(AVERAGE(N9:P9),0),""))</f>
        <v/>
      </c>
      <c r="R9" s="36">
        <f>IF('1-UseCase ทั้งหมด'!B9="","",IF(U9&gt;0,"",IFERROR(ROUND((F9*DATA!$AI$4+M9*DATA!$AI$5+J9*DATA!$AI$6+(6-Q9)*DATA!$AI$7)*20,1),"")))</f>
        <v/>
      </c>
      <c r="S9" s="35">
        <f>IF('1-UseCase ทั้งหมด'!B9="","",IF(U9&gt;0,"ข้อมูลไม่ครบ",IF(R9="","",IF(R9&gt;=DATA!$AI$10,"สูง",IF(R9&gt;=DATA!$AI$11,"กลาง","ต่ำ")))))</f>
        <v/>
      </c>
      <c r="T9" s="35">
        <f>IF('1-UseCase ทั้งหมด'!B9="","",IF(R9="","",RANK(R9,$R$7:$R$36,0)))</f>
        <v/>
      </c>
      <c r="U9" s="34">
        <f>IF('1-UseCase ทั้งหมด'!B9="","",COUNTBLANK('1-UseCase ทั้งหมด'!L9)+COUNTBLANK('1-UseCase ทั้งหมด'!M9)+COUNTBLANK('1-UseCase ทั้งหมด'!O9)+COUNTBLANK('1-UseCase ทั้งหมด'!P9)+COUNTBLANK('1-UseCase ทั้งหมด'!R9)+COUNTBLANK('1-UseCase ทั้งหมด'!S9)+COUNTBLANK('1-UseCase ทั้งหมด'!T9)+COUNTBLANK('1-UseCase ทั้งหมด'!U9)+COUNTBLANK('1-UseCase ทั้งหมด'!V9)+COUNTBLANK('1-UseCase ทั้งหมด'!W9))</f>
        <v/>
      </c>
    </row>
    <row r="10" ht="22" customHeight="1">
      <c r="A10" s="26">
        <f>IF('1-UseCase ทั้งหมด'!B10="","",'1-UseCase ทั้งหมด'!A10)</f>
        <v/>
      </c>
      <c r="B10" s="26">
        <f>IF('1-UseCase ทั้งหมด'!B10="","",'1-UseCase ทั้งหมด'!B10)</f>
        <v/>
      </c>
      <c r="C10" s="26">
        <f>IF('1-UseCase ทั้งหมด'!B10="","",'1-UseCase ทั้งหมด'!D10)</f>
        <v/>
      </c>
      <c r="D10" s="34">
        <f>IF('1-UseCase ทั้งหมด'!B10="","",IFERROR(INDEX(DATA!$R$30:$R$34,MATCH('1-UseCase ทั้งหมด'!L10,DATA!$R$4:$R$8,0)),""))</f>
        <v/>
      </c>
      <c r="E10" s="34">
        <f>IF('1-UseCase ทั้งหมด'!B10="","",IFERROR(INDEX(DATA!$S$30:$S$34,MATCH('1-UseCase ทั้งหมด'!M10,DATA!$S$4:$S$8,0)),""))</f>
        <v/>
      </c>
      <c r="F10" s="35">
        <f>IF('1-UseCase ทั้งหมด'!B10="","",IF(D10="",IF(AND(E10&lt;&gt;"",E10&lt;&gt;"-"),E10,""),IF(AND(E10&lt;&gt;"",E10&lt;&gt;"-"),ROUND((D10+E10)/2,0),D10)))</f>
        <v/>
      </c>
      <c r="G10" s="34">
        <f>IF('1-UseCase ทั้งหมด'!B10="","",IFERROR(INDEX(DATA!$B$30:$B$35,MATCH('1-UseCase ทั้งหมด'!O10,DATA!$B$4:$B$9,0)),""))</f>
        <v/>
      </c>
      <c r="H10" s="34">
        <f>IF('1-UseCase ทั้งหมด'!B10="","",IFERROR(INDEX(DATA!$C$30:$C$33,MATCH('1-UseCase ทั้งหมด'!P10,DATA!$C$4:$C$7,0)),""))</f>
        <v/>
      </c>
      <c r="I10" s="34">
        <f>IF('1-UseCase ทั้งหมด'!B10="","",IFERROR(INDEX(DATA!$D$30:$D$32,MATCH('1-UseCase ทั้งหมด'!R10,DATA!$D$4:$D$6,0)),""))</f>
        <v/>
      </c>
      <c r="J10" s="35">
        <f>IF('1-UseCase ทั้งหมด'!B10="","",IFERROR(ROUND(AVERAGE(G10:I10),0),""))</f>
        <v/>
      </c>
      <c r="K10" s="34">
        <f>IF('1-UseCase ทั้งหมด'!B10="","",IFERROR(INDEX(DATA!$E$30:$E$33,MATCH('1-UseCase ทั้งหมด'!S10,DATA!$E$4:$E$7,0)),""))</f>
        <v/>
      </c>
      <c r="L10" s="34">
        <f>IF('1-UseCase ทั้งหมด'!B10="","",IFERROR(INDEX(DATA!$F$30:$F$32,MATCH('1-UseCase ทั้งหมด'!T10,DATA!$F$4:$F$6,0)),""))</f>
        <v/>
      </c>
      <c r="M10" s="35">
        <f>IF('1-UseCase ทั้งหมด'!B10="","",IFERROR(ROUND(AVERAGE(K10:L10),0),""))</f>
        <v/>
      </c>
      <c r="N10" s="34">
        <f>IF('1-UseCase ทั้งหมด'!B10="","",IFERROR(INDEX(DATA!$G$30:$G$32,MATCH('1-UseCase ทั้งหมด'!U10,DATA!$G$4:$G$6,0)),""))</f>
        <v/>
      </c>
      <c r="O10" s="34">
        <f>IF('1-UseCase ทั้งหมด'!B10="","",IFERROR(INDEX(DATA!$H$30:$H$32,MATCH('1-UseCase ทั้งหมด'!V10,DATA!$H$4:$H$6,0)),""))</f>
        <v/>
      </c>
      <c r="P10" s="34">
        <f>IF('1-UseCase ทั้งหมด'!B10="","",IFERROR(INDEX(DATA!$I$30:$I$33,MATCH('1-UseCase ทั้งหมด'!W10,DATA!$I$4:$I$7,0)),""))</f>
        <v/>
      </c>
      <c r="Q10" s="35">
        <f>IF('1-UseCase ทั้งหมด'!B10="","",IFERROR(ROUND(AVERAGE(N10:P10),0),""))</f>
        <v/>
      </c>
      <c r="R10" s="36">
        <f>IF('1-UseCase ทั้งหมด'!B10="","",IF(U10&gt;0,"",IFERROR(ROUND((F10*DATA!$AI$4+M10*DATA!$AI$5+J10*DATA!$AI$6+(6-Q10)*DATA!$AI$7)*20,1),"")))</f>
        <v/>
      </c>
      <c r="S10" s="35">
        <f>IF('1-UseCase ทั้งหมด'!B10="","",IF(U10&gt;0,"ข้อมูลไม่ครบ",IF(R10="","",IF(R10&gt;=DATA!$AI$10,"สูง",IF(R10&gt;=DATA!$AI$11,"กลาง","ต่ำ")))))</f>
        <v/>
      </c>
      <c r="T10" s="35">
        <f>IF('1-UseCase ทั้งหมด'!B10="","",IF(R10="","",RANK(R10,$R$7:$R$36,0)))</f>
        <v/>
      </c>
      <c r="U10" s="34">
        <f>IF('1-UseCase ทั้งหมด'!B10="","",COUNTBLANK('1-UseCase ทั้งหมด'!L10)+COUNTBLANK('1-UseCase ทั้งหมด'!M10)+COUNTBLANK('1-UseCase ทั้งหมด'!O10)+COUNTBLANK('1-UseCase ทั้งหมด'!P10)+COUNTBLANK('1-UseCase ทั้งหมด'!R10)+COUNTBLANK('1-UseCase ทั้งหมด'!S10)+COUNTBLANK('1-UseCase ทั้งหมด'!T10)+COUNTBLANK('1-UseCase ทั้งหมด'!U10)+COUNTBLANK('1-UseCase ทั้งหมด'!V10)+COUNTBLANK('1-UseCase ทั้งหมด'!W10))</f>
        <v/>
      </c>
    </row>
    <row r="11" ht="22" customHeight="1">
      <c r="A11" s="26">
        <f>IF('1-UseCase ทั้งหมด'!B11="","",'1-UseCase ทั้งหมด'!A11)</f>
        <v/>
      </c>
      <c r="B11" s="26">
        <f>IF('1-UseCase ทั้งหมด'!B11="","",'1-UseCase ทั้งหมด'!B11)</f>
        <v/>
      </c>
      <c r="C11" s="26">
        <f>IF('1-UseCase ทั้งหมด'!B11="","",'1-UseCase ทั้งหมด'!D11)</f>
        <v/>
      </c>
      <c r="D11" s="34">
        <f>IF('1-UseCase ทั้งหมด'!B11="","",IFERROR(INDEX(DATA!$R$30:$R$34,MATCH('1-UseCase ทั้งหมด'!L11,DATA!$R$4:$R$8,0)),""))</f>
        <v/>
      </c>
      <c r="E11" s="34">
        <f>IF('1-UseCase ทั้งหมด'!B11="","",IFERROR(INDEX(DATA!$S$30:$S$34,MATCH('1-UseCase ทั้งหมด'!M11,DATA!$S$4:$S$8,0)),""))</f>
        <v/>
      </c>
      <c r="F11" s="35">
        <f>IF('1-UseCase ทั้งหมด'!B11="","",IF(D11="",IF(AND(E11&lt;&gt;"",E11&lt;&gt;"-"),E11,""),IF(AND(E11&lt;&gt;"",E11&lt;&gt;"-"),ROUND((D11+E11)/2,0),D11)))</f>
        <v/>
      </c>
      <c r="G11" s="34">
        <f>IF('1-UseCase ทั้งหมด'!B11="","",IFERROR(INDEX(DATA!$B$30:$B$35,MATCH('1-UseCase ทั้งหมด'!O11,DATA!$B$4:$B$9,0)),""))</f>
        <v/>
      </c>
      <c r="H11" s="34">
        <f>IF('1-UseCase ทั้งหมด'!B11="","",IFERROR(INDEX(DATA!$C$30:$C$33,MATCH('1-UseCase ทั้งหมด'!P11,DATA!$C$4:$C$7,0)),""))</f>
        <v/>
      </c>
      <c r="I11" s="34">
        <f>IF('1-UseCase ทั้งหมด'!B11="","",IFERROR(INDEX(DATA!$D$30:$D$32,MATCH('1-UseCase ทั้งหมด'!R11,DATA!$D$4:$D$6,0)),""))</f>
        <v/>
      </c>
      <c r="J11" s="35">
        <f>IF('1-UseCase ทั้งหมด'!B11="","",IFERROR(ROUND(AVERAGE(G11:I11),0),""))</f>
        <v/>
      </c>
      <c r="K11" s="34">
        <f>IF('1-UseCase ทั้งหมด'!B11="","",IFERROR(INDEX(DATA!$E$30:$E$33,MATCH('1-UseCase ทั้งหมด'!S11,DATA!$E$4:$E$7,0)),""))</f>
        <v/>
      </c>
      <c r="L11" s="34">
        <f>IF('1-UseCase ทั้งหมด'!B11="","",IFERROR(INDEX(DATA!$F$30:$F$32,MATCH('1-UseCase ทั้งหมด'!T11,DATA!$F$4:$F$6,0)),""))</f>
        <v/>
      </c>
      <c r="M11" s="35">
        <f>IF('1-UseCase ทั้งหมด'!B11="","",IFERROR(ROUND(AVERAGE(K11:L11),0),""))</f>
        <v/>
      </c>
      <c r="N11" s="34">
        <f>IF('1-UseCase ทั้งหมด'!B11="","",IFERROR(INDEX(DATA!$G$30:$G$32,MATCH('1-UseCase ทั้งหมด'!U11,DATA!$G$4:$G$6,0)),""))</f>
        <v/>
      </c>
      <c r="O11" s="34">
        <f>IF('1-UseCase ทั้งหมด'!B11="","",IFERROR(INDEX(DATA!$H$30:$H$32,MATCH('1-UseCase ทั้งหมด'!V11,DATA!$H$4:$H$6,0)),""))</f>
        <v/>
      </c>
      <c r="P11" s="34">
        <f>IF('1-UseCase ทั้งหมด'!B11="","",IFERROR(INDEX(DATA!$I$30:$I$33,MATCH('1-UseCase ทั้งหมด'!W11,DATA!$I$4:$I$7,0)),""))</f>
        <v/>
      </c>
      <c r="Q11" s="35">
        <f>IF('1-UseCase ทั้งหมด'!B11="","",IFERROR(ROUND(AVERAGE(N11:P11),0),""))</f>
        <v/>
      </c>
      <c r="R11" s="36">
        <f>IF('1-UseCase ทั้งหมด'!B11="","",IF(U11&gt;0,"",IFERROR(ROUND((F11*DATA!$AI$4+M11*DATA!$AI$5+J11*DATA!$AI$6+(6-Q11)*DATA!$AI$7)*20,1),"")))</f>
        <v/>
      </c>
      <c r="S11" s="35">
        <f>IF('1-UseCase ทั้งหมด'!B11="","",IF(U11&gt;0,"ข้อมูลไม่ครบ",IF(R11="","",IF(R11&gt;=DATA!$AI$10,"สูง",IF(R11&gt;=DATA!$AI$11,"กลาง","ต่ำ")))))</f>
        <v/>
      </c>
      <c r="T11" s="35">
        <f>IF('1-UseCase ทั้งหมด'!B11="","",IF(R11="","",RANK(R11,$R$7:$R$36,0)))</f>
        <v/>
      </c>
      <c r="U11" s="34">
        <f>IF('1-UseCase ทั้งหมด'!B11="","",COUNTBLANK('1-UseCase ทั้งหมด'!L11)+COUNTBLANK('1-UseCase ทั้งหมด'!M11)+COUNTBLANK('1-UseCase ทั้งหมด'!O11)+COUNTBLANK('1-UseCase ทั้งหมด'!P11)+COUNTBLANK('1-UseCase ทั้งหมด'!R11)+COUNTBLANK('1-UseCase ทั้งหมด'!S11)+COUNTBLANK('1-UseCase ทั้งหมด'!T11)+COUNTBLANK('1-UseCase ทั้งหมด'!U11)+COUNTBLANK('1-UseCase ทั้งหมด'!V11)+COUNTBLANK('1-UseCase ทั้งหมด'!W11))</f>
        <v/>
      </c>
    </row>
    <row r="12" ht="22" customHeight="1">
      <c r="A12" s="26">
        <f>IF('1-UseCase ทั้งหมด'!B12="","",'1-UseCase ทั้งหมด'!A12)</f>
        <v/>
      </c>
      <c r="B12" s="26">
        <f>IF('1-UseCase ทั้งหมด'!B12="","",'1-UseCase ทั้งหมด'!B12)</f>
        <v/>
      </c>
      <c r="C12" s="26">
        <f>IF('1-UseCase ทั้งหมด'!B12="","",'1-UseCase ทั้งหมด'!D12)</f>
        <v/>
      </c>
      <c r="D12" s="34">
        <f>IF('1-UseCase ทั้งหมด'!B12="","",IFERROR(INDEX(DATA!$R$30:$R$34,MATCH('1-UseCase ทั้งหมด'!L12,DATA!$R$4:$R$8,0)),""))</f>
        <v/>
      </c>
      <c r="E12" s="34">
        <f>IF('1-UseCase ทั้งหมด'!B12="","",IFERROR(INDEX(DATA!$S$30:$S$34,MATCH('1-UseCase ทั้งหมด'!M12,DATA!$S$4:$S$8,0)),""))</f>
        <v/>
      </c>
      <c r="F12" s="35">
        <f>IF('1-UseCase ทั้งหมด'!B12="","",IF(D12="",IF(AND(E12&lt;&gt;"",E12&lt;&gt;"-"),E12,""),IF(AND(E12&lt;&gt;"",E12&lt;&gt;"-"),ROUND((D12+E12)/2,0),D12)))</f>
        <v/>
      </c>
      <c r="G12" s="34">
        <f>IF('1-UseCase ทั้งหมด'!B12="","",IFERROR(INDEX(DATA!$B$30:$B$35,MATCH('1-UseCase ทั้งหมด'!O12,DATA!$B$4:$B$9,0)),""))</f>
        <v/>
      </c>
      <c r="H12" s="34">
        <f>IF('1-UseCase ทั้งหมด'!B12="","",IFERROR(INDEX(DATA!$C$30:$C$33,MATCH('1-UseCase ทั้งหมด'!P12,DATA!$C$4:$C$7,0)),""))</f>
        <v/>
      </c>
      <c r="I12" s="34">
        <f>IF('1-UseCase ทั้งหมด'!B12="","",IFERROR(INDEX(DATA!$D$30:$D$32,MATCH('1-UseCase ทั้งหมด'!R12,DATA!$D$4:$D$6,0)),""))</f>
        <v/>
      </c>
      <c r="J12" s="35">
        <f>IF('1-UseCase ทั้งหมด'!B12="","",IFERROR(ROUND(AVERAGE(G12:I12),0),""))</f>
        <v/>
      </c>
      <c r="K12" s="34">
        <f>IF('1-UseCase ทั้งหมด'!B12="","",IFERROR(INDEX(DATA!$E$30:$E$33,MATCH('1-UseCase ทั้งหมด'!S12,DATA!$E$4:$E$7,0)),""))</f>
        <v/>
      </c>
      <c r="L12" s="34">
        <f>IF('1-UseCase ทั้งหมด'!B12="","",IFERROR(INDEX(DATA!$F$30:$F$32,MATCH('1-UseCase ทั้งหมด'!T12,DATA!$F$4:$F$6,0)),""))</f>
        <v/>
      </c>
      <c r="M12" s="35">
        <f>IF('1-UseCase ทั้งหมด'!B12="","",IFERROR(ROUND(AVERAGE(K12:L12),0),""))</f>
        <v/>
      </c>
      <c r="N12" s="34">
        <f>IF('1-UseCase ทั้งหมด'!B12="","",IFERROR(INDEX(DATA!$G$30:$G$32,MATCH('1-UseCase ทั้งหมด'!U12,DATA!$G$4:$G$6,0)),""))</f>
        <v/>
      </c>
      <c r="O12" s="34">
        <f>IF('1-UseCase ทั้งหมด'!B12="","",IFERROR(INDEX(DATA!$H$30:$H$32,MATCH('1-UseCase ทั้งหมด'!V12,DATA!$H$4:$H$6,0)),""))</f>
        <v/>
      </c>
      <c r="P12" s="34">
        <f>IF('1-UseCase ทั้งหมด'!B12="","",IFERROR(INDEX(DATA!$I$30:$I$33,MATCH('1-UseCase ทั้งหมด'!W12,DATA!$I$4:$I$7,0)),""))</f>
        <v/>
      </c>
      <c r="Q12" s="35">
        <f>IF('1-UseCase ทั้งหมด'!B12="","",IFERROR(ROUND(AVERAGE(N12:P12),0),""))</f>
        <v/>
      </c>
      <c r="R12" s="36">
        <f>IF('1-UseCase ทั้งหมด'!B12="","",IF(U12&gt;0,"",IFERROR(ROUND((F12*DATA!$AI$4+M12*DATA!$AI$5+J12*DATA!$AI$6+(6-Q12)*DATA!$AI$7)*20,1),"")))</f>
        <v/>
      </c>
      <c r="S12" s="35">
        <f>IF('1-UseCase ทั้งหมด'!B12="","",IF(U12&gt;0,"ข้อมูลไม่ครบ",IF(R12="","",IF(R12&gt;=DATA!$AI$10,"สูง",IF(R12&gt;=DATA!$AI$11,"กลาง","ต่ำ")))))</f>
        <v/>
      </c>
      <c r="T12" s="35">
        <f>IF('1-UseCase ทั้งหมด'!B12="","",IF(R12="","",RANK(R12,$R$7:$R$36,0)))</f>
        <v/>
      </c>
      <c r="U12" s="34">
        <f>IF('1-UseCase ทั้งหมด'!B12="","",COUNTBLANK('1-UseCase ทั้งหมด'!L12)+COUNTBLANK('1-UseCase ทั้งหมด'!M12)+COUNTBLANK('1-UseCase ทั้งหมด'!O12)+COUNTBLANK('1-UseCase ทั้งหมด'!P12)+COUNTBLANK('1-UseCase ทั้งหมด'!R12)+COUNTBLANK('1-UseCase ทั้งหมด'!S12)+COUNTBLANK('1-UseCase ทั้งหมด'!T12)+COUNTBLANK('1-UseCase ทั้งหมด'!U12)+COUNTBLANK('1-UseCase ทั้งหมด'!V12)+COUNTBLANK('1-UseCase ทั้งหมด'!W12))</f>
        <v/>
      </c>
    </row>
    <row r="13" ht="22" customHeight="1">
      <c r="A13" s="26">
        <f>IF('1-UseCase ทั้งหมด'!B13="","",'1-UseCase ทั้งหมด'!A13)</f>
        <v/>
      </c>
      <c r="B13" s="26">
        <f>IF('1-UseCase ทั้งหมด'!B13="","",'1-UseCase ทั้งหมด'!B13)</f>
        <v/>
      </c>
      <c r="C13" s="26">
        <f>IF('1-UseCase ทั้งหมด'!B13="","",'1-UseCase ทั้งหมด'!D13)</f>
        <v/>
      </c>
      <c r="D13" s="34">
        <f>IF('1-UseCase ทั้งหมด'!B13="","",IFERROR(INDEX(DATA!$R$30:$R$34,MATCH('1-UseCase ทั้งหมด'!L13,DATA!$R$4:$R$8,0)),""))</f>
        <v/>
      </c>
      <c r="E13" s="34">
        <f>IF('1-UseCase ทั้งหมด'!B13="","",IFERROR(INDEX(DATA!$S$30:$S$34,MATCH('1-UseCase ทั้งหมด'!M13,DATA!$S$4:$S$8,0)),""))</f>
        <v/>
      </c>
      <c r="F13" s="35">
        <f>IF('1-UseCase ทั้งหมด'!B13="","",IF(D13="",IF(AND(E13&lt;&gt;"",E13&lt;&gt;"-"),E13,""),IF(AND(E13&lt;&gt;"",E13&lt;&gt;"-"),ROUND((D13+E13)/2,0),D13)))</f>
        <v/>
      </c>
      <c r="G13" s="34">
        <f>IF('1-UseCase ทั้งหมด'!B13="","",IFERROR(INDEX(DATA!$B$30:$B$35,MATCH('1-UseCase ทั้งหมด'!O13,DATA!$B$4:$B$9,0)),""))</f>
        <v/>
      </c>
      <c r="H13" s="34">
        <f>IF('1-UseCase ทั้งหมด'!B13="","",IFERROR(INDEX(DATA!$C$30:$C$33,MATCH('1-UseCase ทั้งหมด'!P13,DATA!$C$4:$C$7,0)),""))</f>
        <v/>
      </c>
      <c r="I13" s="34">
        <f>IF('1-UseCase ทั้งหมด'!B13="","",IFERROR(INDEX(DATA!$D$30:$D$32,MATCH('1-UseCase ทั้งหมด'!R13,DATA!$D$4:$D$6,0)),""))</f>
        <v/>
      </c>
      <c r="J13" s="35">
        <f>IF('1-UseCase ทั้งหมด'!B13="","",IFERROR(ROUND(AVERAGE(G13:I13),0),""))</f>
        <v/>
      </c>
      <c r="K13" s="34">
        <f>IF('1-UseCase ทั้งหมด'!B13="","",IFERROR(INDEX(DATA!$E$30:$E$33,MATCH('1-UseCase ทั้งหมด'!S13,DATA!$E$4:$E$7,0)),""))</f>
        <v/>
      </c>
      <c r="L13" s="34">
        <f>IF('1-UseCase ทั้งหมด'!B13="","",IFERROR(INDEX(DATA!$F$30:$F$32,MATCH('1-UseCase ทั้งหมด'!T13,DATA!$F$4:$F$6,0)),""))</f>
        <v/>
      </c>
      <c r="M13" s="35">
        <f>IF('1-UseCase ทั้งหมด'!B13="","",IFERROR(ROUND(AVERAGE(K13:L13),0),""))</f>
        <v/>
      </c>
      <c r="N13" s="34">
        <f>IF('1-UseCase ทั้งหมด'!B13="","",IFERROR(INDEX(DATA!$G$30:$G$32,MATCH('1-UseCase ทั้งหมด'!U13,DATA!$G$4:$G$6,0)),""))</f>
        <v/>
      </c>
      <c r="O13" s="34">
        <f>IF('1-UseCase ทั้งหมด'!B13="","",IFERROR(INDEX(DATA!$H$30:$H$32,MATCH('1-UseCase ทั้งหมด'!V13,DATA!$H$4:$H$6,0)),""))</f>
        <v/>
      </c>
      <c r="P13" s="34">
        <f>IF('1-UseCase ทั้งหมด'!B13="","",IFERROR(INDEX(DATA!$I$30:$I$33,MATCH('1-UseCase ทั้งหมด'!W13,DATA!$I$4:$I$7,0)),""))</f>
        <v/>
      </c>
      <c r="Q13" s="35">
        <f>IF('1-UseCase ทั้งหมด'!B13="","",IFERROR(ROUND(AVERAGE(N13:P13),0),""))</f>
        <v/>
      </c>
      <c r="R13" s="36">
        <f>IF('1-UseCase ทั้งหมด'!B13="","",IF(U13&gt;0,"",IFERROR(ROUND((F13*DATA!$AI$4+M13*DATA!$AI$5+J13*DATA!$AI$6+(6-Q13)*DATA!$AI$7)*20,1),"")))</f>
        <v/>
      </c>
      <c r="S13" s="35">
        <f>IF('1-UseCase ทั้งหมด'!B13="","",IF(U13&gt;0,"ข้อมูลไม่ครบ",IF(R13="","",IF(R13&gt;=DATA!$AI$10,"สูง",IF(R13&gt;=DATA!$AI$11,"กลาง","ต่ำ")))))</f>
        <v/>
      </c>
      <c r="T13" s="35">
        <f>IF('1-UseCase ทั้งหมด'!B13="","",IF(R13="","",RANK(R13,$R$7:$R$36,0)))</f>
        <v/>
      </c>
      <c r="U13" s="34">
        <f>IF('1-UseCase ทั้งหมด'!B13="","",COUNTBLANK('1-UseCase ทั้งหมด'!L13)+COUNTBLANK('1-UseCase ทั้งหมด'!M13)+COUNTBLANK('1-UseCase ทั้งหมด'!O13)+COUNTBLANK('1-UseCase ทั้งหมด'!P13)+COUNTBLANK('1-UseCase ทั้งหมด'!R13)+COUNTBLANK('1-UseCase ทั้งหมด'!S13)+COUNTBLANK('1-UseCase ทั้งหมด'!T13)+COUNTBLANK('1-UseCase ทั้งหมด'!U13)+COUNTBLANK('1-UseCase ทั้งหมด'!V13)+COUNTBLANK('1-UseCase ทั้งหมด'!W13))</f>
        <v/>
      </c>
    </row>
    <row r="14" ht="22" customHeight="1">
      <c r="A14" s="26">
        <f>IF('1-UseCase ทั้งหมด'!B14="","",'1-UseCase ทั้งหมด'!A14)</f>
        <v/>
      </c>
      <c r="B14" s="26">
        <f>IF('1-UseCase ทั้งหมด'!B14="","",'1-UseCase ทั้งหมด'!B14)</f>
        <v/>
      </c>
      <c r="C14" s="26">
        <f>IF('1-UseCase ทั้งหมด'!B14="","",'1-UseCase ทั้งหมด'!D14)</f>
        <v/>
      </c>
      <c r="D14" s="34">
        <f>IF('1-UseCase ทั้งหมด'!B14="","",IFERROR(INDEX(DATA!$R$30:$R$34,MATCH('1-UseCase ทั้งหมด'!L14,DATA!$R$4:$R$8,0)),""))</f>
        <v/>
      </c>
      <c r="E14" s="34">
        <f>IF('1-UseCase ทั้งหมด'!B14="","",IFERROR(INDEX(DATA!$S$30:$S$34,MATCH('1-UseCase ทั้งหมด'!M14,DATA!$S$4:$S$8,0)),""))</f>
        <v/>
      </c>
      <c r="F14" s="35">
        <f>IF('1-UseCase ทั้งหมด'!B14="","",IF(D14="",IF(AND(E14&lt;&gt;"",E14&lt;&gt;"-"),E14,""),IF(AND(E14&lt;&gt;"",E14&lt;&gt;"-"),ROUND((D14+E14)/2,0),D14)))</f>
        <v/>
      </c>
      <c r="G14" s="34">
        <f>IF('1-UseCase ทั้งหมด'!B14="","",IFERROR(INDEX(DATA!$B$30:$B$35,MATCH('1-UseCase ทั้งหมด'!O14,DATA!$B$4:$B$9,0)),""))</f>
        <v/>
      </c>
      <c r="H14" s="34">
        <f>IF('1-UseCase ทั้งหมด'!B14="","",IFERROR(INDEX(DATA!$C$30:$C$33,MATCH('1-UseCase ทั้งหมด'!P14,DATA!$C$4:$C$7,0)),""))</f>
        <v/>
      </c>
      <c r="I14" s="34">
        <f>IF('1-UseCase ทั้งหมด'!B14="","",IFERROR(INDEX(DATA!$D$30:$D$32,MATCH('1-UseCase ทั้งหมด'!R14,DATA!$D$4:$D$6,0)),""))</f>
        <v/>
      </c>
      <c r="J14" s="35">
        <f>IF('1-UseCase ทั้งหมด'!B14="","",IFERROR(ROUND(AVERAGE(G14:I14),0),""))</f>
        <v/>
      </c>
      <c r="K14" s="34">
        <f>IF('1-UseCase ทั้งหมด'!B14="","",IFERROR(INDEX(DATA!$E$30:$E$33,MATCH('1-UseCase ทั้งหมด'!S14,DATA!$E$4:$E$7,0)),""))</f>
        <v/>
      </c>
      <c r="L14" s="34">
        <f>IF('1-UseCase ทั้งหมด'!B14="","",IFERROR(INDEX(DATA!$F$30:$F$32,MATCH('1-UseCase ทั้งหมด'!T14,DATA!$F$4:$F$6,0)),""))</f>
        <v/>
      </c>
      <c r="M14" s="35">
        <f>IF('1-UseCase ทั้งหมด'!B14="","",IFERROR(ROUND(AVERAGE(K14:L14),0),""))</f>
        <v/>
      </c>
      <c r="N14" s="34">
        <f>IF('1-UseCase ทั้งหมด'!B14="","",IFERROR(INDEX(DATA!$G$30:$G$32,MATCH('1-UseCase ทั้งหมด'!U14,DATA!$G$4:$G$6,0)),""))</f>
        <v/>
      </c>
      <c r="O14" s="34">
        <f>IF('1-UseCase ทั้งหมด'!B14="","",IFERROR(INDEX(DATA!$H$30:$H$32,MATCH('1-UseCase ทั้งหมด'!V14,DATA!$H$4:$H$6,0)),""))</f>
        <v/>
      </c>
      <c r="P14" s="34">
        <f>IF('1-UseCase ทั้งหมด'!B14="","",IFERROR(INDEX(DATA!$I$30:$I$33,MATCH('1-UseCase ทั้งหมด'!W14,DATA!$I$4:$I$7,0)),""))</f>
        <v/>
      </c>
      <c r="Q14" s="35">
        <f>IF('1-UseCase ทั้งหมด'!B14="","",IFERROR(ROUND(AVERAGE(N14:P14),0),""))</f>
        <v/>
      </c>
      <c r="R14" s="36">
        <f>IF('1-UseCase ทั้งหมด'!B14="","",IF(U14&gt;0,"",IFERROR(ROUND((F14*DATA!$AI$4+M14*DATA!$AI$5+J14*DATA!$AI$6+(6-Q14)*DATA!$AI$7)*20,1),"")))</f>
        <v/>
      </c>
      <c r="S14" s="35">
        <f>IF('1-UseCase ทั้งหมด'!B14="","",IF(U14&gt;0,"ข้อมูลไม่ครบ",IF(R14="","",IF(R14&gt;=DATA!$AI$10,"สูง",IF(R14&gt;=DATA!$AI$11,"กลาง","ต่ำ")))))</f>
        <v/>
      </c>
      <c r="T14" s="35">
        <f>IF('1-UseCase ทั้งหมด'!B14="","",IF(R14="","",RANK(R14,$R$7:$R$36,0)))</f>
        <v/>
      </c>
      <c r="U14" s="34">
        <f>IF('1-UseCase ทั้งหมด'!B14="","",COUNTBLANK('1-UseCase ทั้งหมด'!L14)+COUNTBLANK('1-UseCase ทั้งหมด'!M14)+COUNTBLANK('1-UseCase ทั้งหมด'!O14)+COUNTBLANK('1-UseCase ทั้งหมด'!P14)+COUNTBLANK('1-UseCase ทั้งหมด'!R14)+COUNTBLANK('1-UseCase ทั้งหมด'!S14)+COUNTBLANK('1-UseCase ทั้งหมด'!T14)+COUNTBLANK('1-UseCase ทั้งหมด'!U14)+COUNTBLANK('1-UseCase ทั้งหมด'!V14)+COUNTBLANK('1-UseCase ทั้งหมด'!W14))</f>
        <v/>
      </c>
    </row>
    <row r="15" ht="22" customHeight="1">
      <c r="A15" s="26">
        <f>IF('1-UseCase ทั้งหมด'!B15="","",'1-UseCase ทั้งหมด'!A15)</f>
        <v/>
      </c>
      <c r="B15" s="26">
        <f>IF('1-UseCase ทั้งหมด'!B15="","",'1-UseCase ทั้งหมด'!B15)</f>
        <v/>
      </c>
      <c r="C15" s="26">
        <f>IF('1-UseCase ทั้งหมด'!B15="","",'1-UseCase ทั้งหมด'!D15)</f>
        <v/>
      </c>
      <c r="D15" s="34">
        <f>IF('1-UseCase ทั้งหมด'!B15="","",IFERROR(INDEX(DATA!$R$30:$R$34,MATCH('1-UseCase ทั้งหมด'!L15,DATA!$R$4:$R$8,0)),""))</f>
        <v/>
      </c>
      <c r="E15" s="34">
        <f>IF('1-UseCase ทั้งหมด'!B15="","",IFERROR(INDEX(DATA!$S$30:$S$34,MATCH('1-UseCase ทั้งหมด'!M15,DATA!$S$4:$S$8,0)),""))</f>
        <v/>
      </c>
      <c r="F15" s="35">
        <f>IF('1-UseCase ทั้งหมด'!B15="","",IF(D15="",IF(AND(E15&lt;&gt;"",E15&lt;&gt;"-"),E15,""),IF(AND(E15&lt;&gt;"",E15&lt;&gt;"-"),ROUND((D15+E15)/2,0),D15)))</f>
        <v/>
      </c>
      <c r="G15" s="34">
        <f>IF('1-UseCase ทั้งหมด'!B15="","",IFERROR(INDEX(DATA!$B$30:$B$35,MATCH('1-UseCase ทั้งหมด'!O15,DATA!$B$4:$B$9,0)),""))</f>
        <v/>
      </c>
      <c r="H15" s="34">
        <f>IF('1-UseCase ทั้งหมด'!B15="","",IFERROR(INDEX(DATA!$C$30:$C$33,MATCH('1-UseCase ทั้งหมด'!P15,DATA!$C$4:$C$7,0)),""))</f>
        <v/>
      </c>
      <c r="I15" s="34">
        <f>IF('1-UseCase ทั้งหมด'!B15="","",IFERROR(INDEX(DATA!$D$30:$D$32,MATCH('1-UseCase ทั้งหมด'!R15,DATA!$D$4:$D$6,0)),""))</f>
        <v/>
      </c>
      <c r="J15" s="35">
        <f>IF('1-UseCase ทั้งหมด'!B15="","",IFERROR(ROUND(AVERAGE(G15:I15),0),""))</f>
        <v/>
      </c>
      <c r="K15" s="34">
        <f>IF('1-UseCase ทั้งหมด'!B15="","",IFERROR(INDEX(DATA!$E$30:$E$33,MATCH('1-UseCase ทั้งหมด'!S15,DATA!$E$4:$E$7,0)),""))</f>
        <v/>
      </c>
      <c r="L15" s="34">
        <f>IF('1-UseCase ทั้งหมด'!B15="","",IFERROR(INDEX(DATA!$F$30:$F$32,MATCH('1-UseCase ทั้งหมด'!T15,DATA!$F$4:$F$6,0)),""))</f>
        <v/>
      </c>
      <c r="M15" s="35">
        <f>IF('1-UseCase ทั้งหมด'!B15="","",IFERROR(ROUND(AVERAGE(K15:L15),0),""))</f>
        <v/>
      </c>
      <c r="N15" s="34">
        <f>IF('1-UseCase ทั้งหมด'!B15="","",IFERROR(INDEX(DATA!$G$30:$G$32,MATCH('1-UseCase ทั้งหมด'!U15,DATA!$G$4:$G$6,0)),""))</f>
        <v/>
      </c>
      <c r="O15" s="34">
        <f>IF('1-UseCase ทั้งหมด'!B15="","",IFERROR(INDEX(DATA!$H$30:$H$32,MATCH('1-UseCase ทั้งหมด'!V15,DATA!$H$4:$H$6,0)),""))</f>
        <v/>
      </c>
      <c r="P15" s="34">
        <f>IF('1-UseCase ทั้งหมด'!B15="","",IFERROR(INDEX(DATA!$I$30:$I$33,MATCH('1-UseCase ทั้งหมด'!W15,DATA!$I$4:$I$7,0)),""))</f>
        <v/>
      </c>
      <c r="Q15" s="35">
        <f>IF('1-UseCase ทั้งหมด'!B15="","",IFERROR(ROUND(AVERAGE(N15:P15),0),""))</f>
        <v/>
      </c>
      <c r="R15" s="36">
        <f>IF('1-UseCase ทั้งหมด'!B15="","",IF(U15&gt;0,"",IFERROR(ROUND((F15*DATA!$AI$4+M15*DATA!$AI$5+J15*DATA!$AI$6+(6-Q15)*DATA!$AI$7)*20,1),"")))</f>
        <v/>
      </c>
      <c r="S15" s="35">
        <f>IF('1-UseCase ทั้งหมด'!B15="","",IF(U15&gt;0,"ข้อมูลไม่ครบ",IF(R15="","",IF(R15&gt;=DATA!$AI$10,"สูง",IF(R15&gt;=DATA!$AI$11,"กลาง","ต่ำ")))))</f>
        <v/>
      </c>
      <c r="T15" s="35">
        <f>IF('1-UseCase ทั้งหมด'!B15="","",IF(R15="","",RANK(R15,$R$7:$R$36,0)))</f>
        <v/>
      </c>
      <c r="U15" s="34">
        <f>IF('1-UseCase ทั้งหมด'!B15="","",COUNTBLANK('1-UseCase ทั้งหมด'!L15)+COUNTBLANK('1-UseCase ทั้งหมด'!M15)+COUNTBLANK('1-UseCase ทั้งหมด'!O15)+COUNTBLANK('1-UseCase ทั้งหมด'!P15)+COUNTBLANK('1-UseCase ทั้งหมด'!R15)+COUNTBLANK('1-UseCase ทั้งหมด'!S15)+COUNTBLANK('1-UseCase ทั้งหมด'!T15)+COUNTBLANK('1-UseCase ทั้งหมด'!U15)+COUNTBLANK('1-UseCase ทั้งหมด'!V15)+COUNTBLANK('1-UseCase ทั้งหมด'!W15))</f>
        <v/>
      </c>
    </row>
    <row r="16" ht="22" customHeight="1">
      <c r="A16" s="26">
        <f>IF('1-UseCase ทั้งหมด'!B16="","",'1-UseCase ทั้งหมด'!A16)</f>
        <v/>
      </c>
      <c r="B16" s="26">
        <f>IF('1-UseCase ทั้งหมด'!B16="","",'1-UseCase ทั้งหมด'!B16)</f>
        <v/>
      </c>
      <c r="C16" s="26">
        <f>IF('1-UseCase ทั้งหมด'!B16="","",'1-UseCase ทั้งหมด'!D16)</f>
        <v/>
      </c>
      <c r="D16" s="34">
        <f>IF('1-UseCase ทั้งหมด'!B16="","",IFERROR(INDEX(DATA!$R$30:$R$34,MATCH('1-UseCase ทั้งหมด'!L16,DATA!$R$4:$R$8,0)),""))</f>
        <v/>
      </c>
      <c r="E16" s="34">
        <f>IF('1-UseCase ทั้งหมด'!B16="","",IFERROR(INDEX(DATA!$S$30:$S$34,MATCH('1-UseCase ทั้งหมด'!M16,DATA!$S$4:$S$8,0)),""))</f>
        <v/>
      </c>
      <c r="F16" s="35">
        <f>IF('1-UseCase ทั้งหมด'!B16="","",IF(D16="",IF(AND(E16&lt;&gt;"",E16&lt;&gt;"-"),E16,""),IF(AND(E16&lt;&gt;"",E16&lt;&gt;"-"),ROUND((D16+E16)/2,0),D16)))</f>
        <v/>
      </c>
      <c r="G16" s="34">
        <f>IF('1-UseCase ทั้งหมด'!B16="","",IFERROR(INDEX(DATA!$B$30:$B$35,MATCH('1-UseCase ทั้งหมด'!O16,DATA!$B$4:$B$9,0)),""))</f>
        <v/>
      </c>
      <c r="H16" s="34">
        <f>IF('1-UseCase ทั้งหมด'!B16="","",IFERROR(INDEX(DATA!$C$30:$C$33,MATCH('1-UseCase ทั้งหมด'!P16,DATA!$C$4:$C$7,0)),""))</f>
        <v/>
      </c>
      <c r="I16" s="34">
        <f>IF('1-UseCase ทั้งหมด'!B16="","",IFERROR(INDEX(DATA!$D$30:$D$32,MATCH('1-UseCase ทั้งหมด'!R16,DATA!$D$4:$D$6,0)),""))</f>
        <v/>
      </c>
      <c r="J16" s="35">
        <f>IF('1-UseCase ทั้งหมด'!B16="","",IFERROR(ROUND(AVERAGE(G16:I16),0),""))</f>
        <v/>
      </c>
      <c r="K16" s="34">
        <f>IF('1-UseCase ทั้งหมด'!B16="","",IFERROR(INDEX(DATA!$E$30:$E$33,MATCH('1-UseCase ทั้งหมด'!S16,DATA!$E$4:$E$7,0)),""))</f>
        <v/>
      </c>
      <c r="L16" s="34">
        <f>IF('1-UseCase ทั้งหมด'!B16="","",IFERROR(INDEX(DATA!$F$30:$F$32,MATCH('1-UseCase ทั้งหมด'!T16,DATA!$F$4:$F$6,0)),""))</f>
        <v/>
      </c>
      <c r="M16" s="35">
        <f>IF('1-UseCase ทั้งหมด'!B16="","",IFERROR(ROUND(AVERAGE(K16:L16),0),""))</f>
        <v/>
      </c>
      <c r="N16" s="34">
        <f>IF('1-UseCase ทั้งหมด'!B16="","",IFERROR(INDEX(DATA!$G$30:$G$32,MATCH('1-UseCase ทั้งหมด'!U16,DATA!$G$4:$G$6,0)),""))</f>
        <v/>
      </c>
      <c r="O16" s="34">
        <f>IF('1-UseCase ทั้งหมด'!B16="","",IFERROR(INDEX(DATA!$H$30:$H$32,MATCH('1-UseCase ทั้งหมด'!V16,DATA!$H$4:$H$6,0)),""))</f>
        <v/>
      </c>
      <c r="P16" s="34">
        <f>IF('1-UseCase ทั้งหมด'!B16="","",IFERROR(INDEX(DATA!$I$30:$I$33,MATCH('1-UseCase ทั้งหมด'!W16,DATA!$I$4:$I$7,0)),""))</f>
        <v/>
      </c>
      <c r="Q16" s="35">
        <f>IF('1-UseCase ทั้งหมด'!B16="","",IFERROR(ROUND(AVERAGE(N16:P16),0),""))</f>
        <v/>
      </c>
      <c r="R16" s="36">
        <f>IF('1-UseCase ทั้งหมด'!B16="","",IF(U16&gt;0,"",IFERROR(ROUND((F16*DATA!$AI$4+M16*DATA!$AI$5+J16*DATA!$AI$6+(6-Q16)*DATA!$AI$7)*20,1),"")))</f>
        <v/>
      </c>
      <c r="S16" s="35">
        <f>IF('1-UseCase ทั้งหมด'!B16="","",IF(U16&gt;0,"ข้อมูลไม่ครบ",IF(R16="","",IF(R16&gt;=DATA!$AI$10,"สูง",IF(R16&gt;=DATA!$AI$11,"กลาง","ต่ำ")))))</f>
        <v/>
      </c>
      <c r="T16" s="35">
        <f>IF('1-UseCase ทั้งหมด'!B16="","",IF(R16="","",RANK(R16,$R$7:$R$36,0)))</f>
        <v/>
      </c>
      <c r="U16" s="34">
        <f>IF('1-UseCase ทั้งหมด'!B16="","",COUNTBLANK('1-UseCase ทั้งหมด'!L16)+COUNTBLANK('1-UseCase ทั้งหมด'!M16)+COUNTBLANK('1-UseCase ทั้งหมด'!O16)+COUNTBLANK('1-UseCase ทั้งหมด'!P16)+COUNTBLANK('1-UseCase ทั้งหมด'!R16)+COUNTBLANK('1-UseCase ทั้งหมด'!S16)+COUNTBLANK('1-UseCase ทั้งหมด'!T16)+COUNTBLANK('1-UseCase ทั้งหมด'!U16)+COUNTBLANK('1-UseCase ทั้งหมด'!V16)+COUNTBLANK('1-UseCase ทั้งหมด'!W16))</f>
        <v/>
      </c>
    </row>
    <row r="17" ht="22" customHeight="1">
      <c r="A17" s="26">
        <f>IF('1-UseCase ทั้งหมด'!B17="","",'1-UseCase ทั้งหมด'!A17)</f>
        <v/>
      </c>
      <c r="B17" s="26">
        <f>IF('1-UseCase ทั้งหมด'!B17="","",'1-UseCase ทั้งหมด'!B17)</f>
        <v/>
      </c>
      <c r="C17" s="26">
        <f>IF('1-UseCase ทั้งหมด'!B17="","",'1-UseCase ทั้งหมด'!D17)</f>
        <v/>
      </c>
      <c r="D17" s="34">
        <f>IF('1-UseCase ทั้งหมด'!B17="","",IFERROR(INDEX(DATA!$R$30:$R$34,MATCH('1-UseCase ทั้งหมด'!L17,DATA!$R$4:$R$8,0)),""))</f>
        <v/>
      </c>
      <c r="E17" s="34">
        <f>IF('1-UseCase ทั้งหมด'!B17="","",IFERROR(INDEX(DATA!$S$30:$S$34,MATCH('1-UseCase ทั้งหมด'!M17,DATA!$S$4:$S$8,0)),""))</f>
        <v/>
      </c>
      <c r="F17" s="35">
        <f>IF('1-UseCase ทั้งหมด'!B17="","",IF(D17="",IF(AND(E17&lt;&gt;"",E17&lt;&gt;"-"),E17,""),IF(AND(E17&lt;&gt;"",E17&lt;&gt;"-"),ROUND((D17+E17)/2,0),D17)))</f>
        <v/>
      </c>
      <c r="G17" s="34">
        <f>IF('1-UseCase ทั้งหมด'!B17="","",IFERROR(INDEX(DATA!$B$30:$B$35,MATCH('1-UseCase ทั้งหมด'!O17,DATA!$B$4:$B$9,0)),""))</f>
        <v/>
      </c>
      <c r="H17" s="34">
        <f>IF('1-UseCase ทั้งหมด'!B17="","",IFERROR(INDEX(DATA!$C$30:$C$33,MATCH('1-UseCase ทั้งหมด'!P17,DATA!$C$4:$C$7,0)),""))</f>
        <v/>
      </c>
      <c r="I17" s="34">
        <f>IF('1-UseCase ทั้งหมด'!B17="","",IFERROR(INDEX(DATA!$D$30:$D$32,MATCH('1-UseCase ทั้งหมด'!R17,DATA!$D$4:$D$6,0)),""))</f>
        <v/>
      </c>
      <c r="J17" s="35">
        <f>IF('1-UseCase ทั้งหมด'!B17="","",IFERROR(ROUND(AVERAGE(G17:I17),0),""))</f>
        <v/>
      </c>
      <c r="K17" s="34">
        <f>IF('1-UseCase ทั้งหมด'!B17="","",IFERROR(INDEX(DATA!$E$30:$E$33,MATCH('1-UseCase ทั้งหมด'!S17,DATA!$E$4:$E$7,0)),""))</f>
        <v/>
      </c>
      <c r="L17" s="34">
        <f>IF('1-UseCase ทั้งหมด'!B17="","",IFERROR(INDEX(DATA!$F$30:$F$32,MATCH('1-UseCase ทั้งหมด'!T17,DATA!$F$4:$F$6,0)),""))</f>
        <v/>
      </c>
      <c r="M17" s="35">
        <f>IF('1-UseCase ทั้งหมด'!B17="","",IFERROR(ROUND(AVERAGE(K17:L17),0),""))</f>
        <v/>
      </c>
      <c r="N17" s="34">
        <f>IF('1-UseCase ทั้งหมด'!B17="","",IFERROR(INDEX(DATA!$G$30:$G$32,MATCH('1-UseCase ทั้งหมด'!U17,DATA!$G$4:$G$6,0)),""))</f>
        <v/>
      </c>
      <c r="O17" s="34">
        <f>IF('1-UseCase ทั้งหมด'!B17="","",IFERROR(INDEX(DATA!$H$30:$H$32,MATCH('1-UseCase ทั้งหมด'!V17,DATA!$H$4:$H$6,0)),""))</f>
        <v/>
      </c>
      <c r="P17" s="34">
        <f>IF('1-UseCase ทั้งหมด'!B17="","",IFERROR(INDEX(DATA!$I$30:$I$33,MATCH('1-UseCase ทั้งหมด'!W17,DATA!$I$4:$I$7,0)),""))</f>
        <v/>
      </c>
      <c r="Q17" s="35">
        <f>IF('1-UseCase ทั้งหมด'!B17="","",IFERROR(ROUND(AVERAGE(N17:P17),0),""))</f>
        <v/>
      </c>
      <c r="R17" s="36">
        <f>IF('1-UseCase ทั้งหมด'!B17="","",IF(U17&gt;0,"",IFERROR(ROUND((F17*DATA!$AI$4+M17*DATA!$AI$5+J17*DATA!$AI$6+(6-Q17)*DATA!$AI$7)*20,1),"")))</f>
        <v/>
      </c>
      <c r="S17" s="35">
        <f>IF('1-UseCase ทั้งหมด'!B17="","",IF(U17&gt;0,"ข้อมูลไม่ครบ",IF(R17="","",IF(R17&gt;=DATA!$AI$10,"สูง",IF(R17&gt;=DATA!$AI$11,"กลาง","ต่ำ")))))</f>
        <v/>
      </c>
      <c r="T17" s="35">
        <f>IF('1-UseCase ทั้งหมด'!B17="","",IF(R17="","",RANK(R17,$R$7:$R$36,0)))</f>
        <v/>
      </c>
      <c r="U17" s="34">
        <f>IF('1-UseCase ทั้งหมด'!B17="","",COUNTBLANK('1-UseCase ทั้งหมด'!L17)+COUNTBLANK('1-UseCase ทั้งหมด'!M17)+COUNTBLANK('1-UseCase ทั้งหมด'!O17)+COUNTBLANK('1-UseCase ทั้งหมด'!P17)+COUNTBLANK('1-UseCase ทั้งหมด'!R17)+COUNTBLANK('1-UseCase ทั้งหมด'!S17)+COUNTBLANK('1-UseCase ทั้งหมด'!T17)+COUNTBLANK('1-UseCase ทั้งหมด'!U17)+COUNTBLANK('1-UseCase ทั้งหมด'!V17)+COUNTBLANK('1-UseCase ทั้งหมด'!W17))</f>
        <v/>
      </c>
    </row>
    <row r="18" ht="22" customHeight="1">
      <c r="A18" s="26">
        <f>IF('1-UseCase ทั้งหมด'!B18="","",'1-UseCase ทั้งหมด'!A18)</f>
        <v/>
      </c>
      <c r="B18" s="26">
        <f>IF('1-UseCase ทั้งหมด'!B18="","",'1-UseCase ทั้งหมด'!B18)</f>
        <v/>
      </c>
      <c r="C18" s="26">
        <f>IF('1-UseCase ทั้งหมด'!B18="","",'1-UseCase ทั้งหมด'!D18)</f>
        <v/>
      </c>
      <c r="D18" s="34">
        <f>IF('1-UseCase ทั้งหมด'!B18="","",IFERROR(INDEX(DATA!$R$30:$R$34,MATCH('1-UseCase ทั้งหมด'!L18,DATA!$R$4:$R$8,0)),""))</f>
        <v/>
      </c>
      <c r="E18" s="34">
        <f>IF('1-UseCase ทั้งหมด'!B18="","",IFERROR(INDEX(DATA!$S$30:$S$34,MATCH('1-UseCase ทั้งหมด'!M18,DATA!$S$4:$S$8,0)),""))</f>
        <v/>
      </c>
      <c r="F18" s="35">
        <f>IF('1-UseCase ทั้งหมด'!B18="","",IF(D18="",IF(AND(E18&lt;&gt;"",E18&lt;&gt;"-"),E18,""),IF(AND(E18&lt;&gt;"",E18&lt;&gt;"-"),ROUND((D18+E18)/2,0),D18)))</f>
        <v/>
      </c>
      <c r="G18" s="34">
        <f>IF('1-UseCase ทั้งหมด'!B18="","",IFERROR(INDEX(DATA!$B$30:$B$35,MATCH('1-UseCase ทั้งหมด'!O18,DATA!$B$4:$B$9,0)),""))</f>
        <v/>
      </c>
      <c r="H18" s="34">
        <f>IF('1-UseCase ทั้งหมด'!B18="","",IFERROR(INDEX(DATA!$C$30:$C$33,MATCH('1-UseCase ทั้งหมด'!P18,DATA!$C$4:$C$7,0)),""))</f>
        <v/>
      </c>
      <c r="I18" s="34">
        <f>IF('1-UseCase ทั้งหมด'!B18="","",IFERROR(INDEX(DATA!$D$30:$D$32,MATCH('1-UseCase ทั้งหมด'!R18,DATA!$D$4:$D$6,0)),""))</f>
        <v/>
      </c>
      <c r="J18" s="35">
        <f>IF('1-UseCase ทั้งหมด'!B18="","",IFERROR(ROUND(AVERAGE(G18:I18),0),""))</f>
        <v/>
      </c>
      <c r="K18" s="34">
        <f>IF('1-UseCase ทั้งหมด'!B18="","",IFERROR(INDEX(DATA!$E$30:$E$33,MATCH('1-UseCase ทั้งหมด'!S18,DATA!$E$4:$E$7,0)),""))</f>
        <v/>
      </c>
      <c r="L18" s="34">
        <f>IF('1-UseCase ทั้งหมด'!B18="","",IFERROR(INDEX(DATA!$F$30:$F$32,MATCH('1-UseCase ทั้งหมด'!T18,DATA!$F$4:$F$6,0)),""))</f>
        <v/>
      </c>
      <c r="M18" s="35">
        <f>IF('1-UseCase ทั้งหมด'!B18="","",IFERROR(ROUND(AVERAGE(K18:L18),0),""))</f>
        <v/>
      </c>
      <c r="N18" s="34">
        <f>IF('1-UseCase ทั้งหมด'!B18="","",IFERROR(INDEX(DATA!$G$30:$G$32,MATCH('1-UseCase ทั้งหมด'!U18,DATA!$G$4:$G$6,0)),""))</f>
        <v/>
      </c>
      <c r="O18" s="34">
        <f>IF('1-UseCase ทั้งหมด'!B18="","",IFERROR(INDEX(DATA!$H$30:$H$32,MATCH('1-UseCase ทั้งหมด'!V18,DATA!$H$4:$H$6,0)),""))</f>
        <v/>
      </c>
      <c r="P18" s="34">
        <f>IF('1-UseCase ทั้งหมด'!B18="","",IFERROR(INDEX(DATA!$I$30:$I$33,MATCH('1-UseCase ทั้งหมด'!W18,DATA!$I$4:$I$7,0)),""))</f>
        <v/>
      </c>
      <c r="Q18" s="35">
        <f>IF('1-UseCase ทั้งหมด'!B18="","",IFERROR(ROUND(AVERAGE(N18:P18),0),""))</f>
        <v/>
      </c>
      <c r="R18" s="36">
        <f>IF('1-UseCase ทั้งหมด'!B18="","",IF(U18&gt;0,"",IFERROR(ROUND((F18*DATA!$AI$4+M18*DATA!$AI$5+J18*DATA!$AI$6+(6-Q18)*DATA!$AI$7)*20,1),"")))</f>
        <v/>
      </c>
      <c r="S18" s="35">
        <f>IF('1-UseCase ทั้งหมด'!B18="","",IF(U18&gt;0,"ข้อมูลไม่ครบ",IF(R18="","",IF(R18&gt;=DATA!$AI$10,"สูง",IF(R18&gt;=DATA!$AI$11,"กลาง","ต่ำ")))))</f>
        <v/>
      </c>
      <c r="T18" s="35">
        <f>IF('1-UseCase ทั้งหมด'!B18="","",IF(R18="","",RANK(R18,$R$7:$R$36,0)))</f>
        <v/>
      </c>
      <c r="U18" s="34">
        <f>IF('1-UseCase ทั้งหมด'!B18="","",COUNTBLANK('1-UseCase ทั้งหมด'!L18)+COUNTBLANK('1-UseCase ทั้งหมด'!M18)+COUNTBLANK('1-UseCase ทั้งหมด'!O18)+COUNTBLANK('1-UseCase ทั้งหมด'!P18)+COUNTBLANK('1-UseCase ทั้งหมด'!R18)+COUNTBLANK('1-UseCase ทั้งหมด'!S18)+COUNTBLANK('1-UseCase ทั้งหมด'!T18)+COUNTBLANK('1-UseCase ทั้งหมด'!U18)+COUNTBLANK('1-UseCase ทั้งหมด'!V18)+COUNTBLANK('1-UseCase ทั้งหมด'!W18))</f>
        <v/>
      </c>
    </row>
    <row r="19" ht="22" customHeight="1">
      <c r="A19" s="26">
        <f>IF('1-UseCase ทั้งหมด'!B19="","",'1-UseCase ทั้งหมด'!A19)</f>
        <v/>
      </c>
      <c r="B19" s="26">
        <f>IF('1-UseCase ทั้งหมด'!B19="","",'1-UseCase ทั้งหมด'!B19)</f>
        <v/>
      </c>
      <c r="C19" s="26">
        <f>IF('1-UseCase ทั้งหมด'!B19="","",'1-UseCase ทั้งหมด'!D19)</f>
        <v/>
      </c>
      <c r="D19" s="34">
        <f>IF('1-UseCase ทั้งหมด'!B19="","",IFERROR(INDEX(DATA!$R$30:$R$34,MATCH('1-UseCase ทั้งหมด'!L19,DATA!$R$4:$R$8,0)),""))</f>
        <v/>
      </c>
      <c r="E19" s="34">
        <f>IF('1-UseCase ทั้งหมด'!B19="","",IFERROR(INDEX(DATA!$S$30:$S$34,MATCH('1-UseCase ทั้งหมด'!M19,DATA!$S$4:$S$8,0)),""))</f>
        <v/>
      </c>
      <c r="F19" s="35">
        <f>IF('1-UseCase ทั้งหมด'!B19="","",IF(D19="",IF(AND(E19&lt;&gt;"",E19&lt;&gt;"-"),E19,""),IF(AND(E19&lt;&gt;"",E19&lt;&gt;"-"),ROUND((D19+E19)/2,0),D19)))</f>
        <v/>
      </c>
      <c r="G19" s="34">
        <f>IF('1-UseCase ทั้งหมด'!B19="","",IFERROR(INDEX(DATA!$B$30:$B$35,MATCH('1-UseCase ทั้งหมด'!O19,DATA!$B$4:$B$9,0)),""))</f>
        <v/>
      </c>
      <c r="H19" s="34">
        <f>IF('1-UseCase ทั้งหมด'!B19="","",IFERROR(INDEX(DATA!$C$30:$C$33,MATCH('1-UseCase ทั้งหมด'!P19,DATA!$C$4:$C$7,0)),""))</f>
        <v/>
      </c>
      <c r="I19" s="34">
        <f>IF('1-UseCase ทั้งหมด'!B19="","",IFERROR(INDEX(DATA!$D$30:$D$32,MATCH('1-UseCase ทั้งหมด'!R19,DATA!$D$4:$D$6,0)),""))</f>
        <v/>
      </c>
      <c r="J19" s="35">
        <f>IF('1-UseCase ทั้งหมด'!B19="","",IFERROR(ROUND(AVERAGE(G19:I19),0),""))</f>
        <v/>
      </c>
      <c r="K19" s="34">
        <f>IF('1-UseCase ทั้งหมด'!B19="","",IFERROR(INDEX(DATA!$E$30:$E$33,MATCH('1-UseCase ทั้งหมด'!S19,DATA!$E$4:$E$7,0)),""))</f>
        <v/>
      </c>
      <c r="L19" s="34">
        <f>IF('1-UseCase ทั้งหมด'!B19="","",IFERROR(INDEX(DATA!$F$30:$F$32,MATCH('1-UseCase ทั้งหมด'!T19,DATA!$F$4:$F$6,0)),""))</f>
        <v/>
      </c>
      <c r="M19" s="35">
        <f>IF('1-UseCase ทั้งหมด'!B19="","",IFERROR(ROUND(AVERAGE(K19:L19),0),""))</f>
        <v/>
      </c>
      <c r="N19" s="34">
        <f>IF('1-UseCase ทั้งหมด'!B19="","",IFERROR(INDEX(DATA!$G$30:$G$32,MATCH('1-UseCase ทั้งหมด'!U19,DATA!$G$4:$G$6,0)),""))</f>
        <v/>
      </c>
      <c r="O19" s="34">
        <f>IF('1-UseCase ทั้งหมด'!B19="","",IFERROR(INDEX(DATA!$H$30:$H$32,MATCH('1-UseCase ทั้งหมด'!V19,DATA!$H$4:$H$6,0)),""))</f>
        <v/>
      </c>
      <c r="P19" s="34">
        <f>IF('1-UseCase ทั้งหมด'!B19="","",IFERROR(INDEX(DATA!$I$30:$I$33,MATCH('1-UseCase ทั้งหมด'!W19,DATA!$I$4:$I$7,0)),""))</f>
        <v/>
      </c>
      <c r="Q19" s="35">
        <f>IF('1-UseCase ทั้งหมด'!B19="","",IFERROR(ROUND(AVERAGE(N19:P19),0),""))</f>
        <v/>
      </c>
      <c r="R19" s="36">
        <f>IF('1-UseCase ทั้งหมด'!B19="","",IF(U19&gt;0,"",IFERROR(ROUND((F19*DATA!$AI$4+M19*DATA!$AI$5+J19*DATA!$AI$6+(6-Q19)*DATA!$AI$7)*20,1),"")))</f>
        <v/>
      </c>
      <c r="S19" s="35">
        <f>IF('1-UseCase ทั้งหมด'!B19="","",IF(U19&gt;0,"ข้อมูลไม่ครบ",IF(R19="","",IF(R19&gt;=DATA!$AI$10,"สูง",IF(R19&gt;=DATA!$AI$11,"กลาง","ต่ำ")))))</f>
        <v/>
      </c>
      <c r="T19" s="35">
        <f>IF('1-UseCase ทั้งหมด'!B19="","",IF(R19="","",RANK(R19,$R$7:$R$36,0)))</f>
        <v/>
      </c>
      <c r="U19" s="34">
        <f>IF('1-UseCase ทั้งหมด'!B19="","",COUNTBLANK('1-UseCase ทั้งหมด'!L19)+COUNTBLANK('1-UseCase ทั้งหมด'!M19)+COUNTBLANK('1-UseCase ทั้งหมด'!O19)+COUNTBLANK('1-UseCase ทั้งหมด'!P19)+COUNTBLANK('1-UseCase ทั้งหมด'!R19)+COUNTBLANK('1-UseCase ทั้งหมด'!S19)+COUNTBLANK('1-UseCase ทั้งหมด'!T19)+COUNTBLANK('1-UseCase ทั้งหมด'!U19)+COUNTBLANK('1-UseCase ทั้งหมด'!V19)+COUNTBLANK('1-UseCase ทั้งหมด'!W19))</f>
        <v/>
      </c>
    </row>
    <row r="20" ht="22" customHeight="1">
      <c r="A20" s="26">
        <f>IF('1-UseCase ทั้งหมด'!B20="","",'1-UseCase ทั้งหมด'!A20)</f>
        <v/>
      </c>
      <c r="B20" s="26">
        <f>IF('1-UseCase ทั้งหมด'!B20="","",'1-UseCase ทั้งหมด'!B20)</f>
        <v/>
      </c>
      <c r="C20" s="26">
        <f>IF('1-UseCase ทั้งหมด'!B20="","",'1-UseCase ทั้งหมด'!D20)</f>
        <v/>
      </c>
      <c r="D20" s="34">
        <f>IF('1-UseCase ทั้งหมด'!B20="","",IFERROR(INDEX(DATA!$R$30:$R$34,MATCH('1-UseCase ทั้งหมด'!L20,DATA!$R$4:$R$8,0)),""))</f>
        <v/>
      </c>
      <c r="E20" s="34">
        <f>IF('1-UseCase ทั้งหมด'!B20="","",IFERROR(INDEX(DATA!$S$30:$S$34,MATCH('1-UseCase ทั้งหมด'!M20,DATA!$S$4:$S$8,0)),""))</f>
        <v/>
      </c>
      <c r="F20" s="35">
        <f>IF('1-UseCase ทั้งหมด'!B20="","",IF(D20="",IF(AND(E20&lt;&gt;"",E20&lt;&gt;"-"),E20,""),IF(AND(E20&lt;&gt;"",E20&lt;&gt;"-"),ROUND((D20+E20)/2,0),D20)))</f>
        <v/>
      </c>
      <c r="G20" s="34">
        <f>IF('1-UseCase ทั้งหมด'!B20="","",IFERROR(INDEX(DATA!$B$30:$B$35,MATCH('1-UseCase ทั้งหมด'!O20,DATA!$B$4:$B$9,0)),""))</f>
        <v/>
      </c>
      <c r="H20" s="34">
        <f>IF('1-UseCase ทั้งหมด'!B20="","",IFERROR(INDEX(DATA!$C$30:$C$33,MATCH('1-UseCase ทั้งหมด'!P20,DATA!$C$4:$C$7,0)),""))</f>
        <v/>
      </c>
      <c r="I20" s="34">
        <f>IF('1-UseCase ทั้งหมด'!B20="","",IFERROR(INDEX(DATA!$D$30:$D$32,MATCH('1-UseCase ทั้งหมด'!R20,DATA!$D$4:$D$6,0)),""))</f>
        <v/>
      </c>
      <c r="J20" s="35">
        <f>IF('1-UseCase ทั้งหมด'!B20="","",IFERROR(ROUND(AVERAGE(G20:I20),0),""))</f>
        <v/>
      </c>
      <c r="K20" s="34">
        <f>IF('1-UseCase ทั้งหมด'!B20="","",IFERROR(INDEX(DATA!$E$30:$E$33,MATCH('1-UseCase ทั้งหมด'!S20,DATA!$E$4:$E$7,0)),""))</f>
        <v/>
      </c>
      <c r="L20" s="34">
        <f>IF('1-UseCase ทั้งหมด'!B20="","",IFERROR(INDEX(DATA!$F$30:$F$32,MATCH('1-UseCase ทั้งหมด'!T20,DATA!$F$4:$F$6,0)),""))</f>
        <v/>
      </c>
      <c r="M20" s="35">
        <f>IF('1-UseCase ทั้งหมด'!B20="","",IFERROR(ROUND(AVERAGE(K20:L20),0),""))</f>
        <v/>
      </c>
      <c r="N20" s="34">
        <f>IF('1-UseCase ทั้งหมด'!B20="","",IFERROR(INDEX(DATA!$G$30:$G$32,MATCH('1-UseCase ทั้งหมด'!U20,DATA!$G$4:$G$6,0)),""))</f>
        <v/>
      </c>
      <c r="O20" s="34">
        <f>IF('1-UseCase ทั้งหมด'!B20="","",IFERROR(INDEX(DATA!$H$30:$H$32,MATCH('1-UseCase ทั้งหมด'!V20,DATA!$H$4:$H$6,0)),""))</f>
        <v/>
      </c>
      <c r="P20" s="34">
        <f>IF('1-UseCase ทั้งหมด'!B20="","",IFERROR(INDEX(DATA!$I$30:$I$33,MATCH('1-UseCase ทั้งหมด'!W20,DATA!$I$4:$I$7,0)),""))</f>
        <v/>
      </c>
      <c r="Q20" s="35">
        <f>IF('1-UseCase ทั้งหมด'!B20="","",IFERROR(ROUND(AVERAGE(N20:P20),0),""))</f>
        <v/>
      </c>
      <c r="R20" s="36">
        <f>IF('1-UseCase ทั้งหมด'!B20="","",IF(U20&gt;0,"",IFERROR(ROUND((F20*DATA!$AI$4+M20*DATA!$AI$5+J20*DATA!$AI$6+(6-Q20)*DATA!$AI$7)*20,1),"")))</f>
        <v/>
      </c>
      <c r="S20" s="35">
        <f>IF('1-UseCase ทั้งหมด'!B20="","",IF(U20&gt;0,"ข้อมูลไม่ครบ",IF(R20="","",IF(R20&gt;=DATA!$AI$10,"สูง",IF(R20&gt;=DATA!$AI$11,"กลาง","ต่ำ")))))</f>
        <v/>
      </c>
      <c r="T20" s="35">
        <f>IF('1-UseCase ทั้งหมด'!B20="","",IF(R20="","",RANK(R20,$R$7:$R$36,0)))</f>
        <v/>
      </c>
      <c r="U20" s="34">
        <f>IF('1-UseCase ทั้งหมด'!B20="","",COUNTBLANK('1-UseCase ทั้งหมด'!L20)+COUNTBLANK('1-UseCase ทั้งหมด'!M20)+COUNTBLANK('1-UseCase ทั้งหมด'!O20)+COUNTBLANK('1-UseCase ทั้งหมด'!P20)+COUNTBLANK('1-UseCase ทั้งหมด'!R20)+COUNTBLANK('1-UseCase ทั้งหมด'!S20)+COUNTBLANK('1-UseCase ทั้งหมด'!T20)+COUNTBLANK('1-UseCase ทั้งหมด'!U20)+COUNTBLANK('1-UseCase ทั้งหมด'!V20)+COUNTBLANK('1-UseCase ทั้งหมด'!W20))</f>
        <v/>
      </c>
    </row>
    <row r="21" ht="22" customHeight="1">
      <c r="A21" s="26">
        <f>IF('1-UseCase ทั้งหมด'!B21="","",'1-UseCase ทั้งหมด'!A21)</f>
        <v/>
      </c>
      <c r="B21" s="26">
        <f>IF('1-UseCase ทั้งหมด'!B21="","",'1-UseCase ทั้งหมด'!B21)</f>
        <v/>
      </c>
      <c r="C21" s="26">
        <f>IF('1-UseCase ทั้งหมด'!B21="","",'1-UseCase ทั้งหมด'!D21)</f>
        <v/>
      </c>
      <c r="D21" s="34">
        <f>IF('1-UseCase ทั้งหมด'!B21="","",IFERROR(INDEX(DATA!$R$30:$R$34,MATCH('1-UseCase ทั้งหมด'!L21,DATA!$R$4:$R$8,0)),""))</f>
        <v/>
      </c>
      <c r="E21" s="34">
        <f>IF('1-UseCase ทั้งหมด'!B21="","",IFERROR(INDEX(DATA!$S$30:$S$34,MATCH('1-UseCase ทั้งหมด'!M21,DATA!$S$4:$S$8,0)),""))</f>
        <v/>
      </c>
      <c r="F21" s="35">
        <f>IF('1-UseCase ทั้งหมด'!B21="","",IF(D21="",IF(AND(E21&lt;&gt;"",E21&lt;&gt;"-"),E21,""),IF(AND(E21&lt;&gt;"",E21&lt;&gt;"-"),ROUND((D21+E21)/2,0),D21)))</f>
        <v/>
      </c>
      <c r="G21" s="34">
        <f>IF('1-UseCase ทั้งหมด'!B21="","",IFERROR(INDEX(DATA!$B$30:$B$35,MATCH('1-UseCase ทั้งหมด'!O21,DATA!$B$4:$B$9,0)),""))</f>
        <v/>
      </c>
      <c r="H21" s="34">
        <f>IF('1-UseCase ทั้งหมด'!B21="","",IFERROR(INDEX(DATA!$C$30:$C$33,MATCH('1-UseCase ทั้งหมด'!P21,DATA!$C$4:$C$7,0)),""))</f>
        <v/>
      </c>
      <c r="I21" s="34">
        <f>IF('1-UseCase ทั้งหมด'!B21="","",IFERROR(INDEX(DATA!$D$30:$D$32,MATCH('1-UseCase ทั้งหมด'!R21,DATA!$D$4:$D$6,0)),""))</f>
        <v/>
      </c>
      <c r="J21" s="35">
        <f>IF('1-UseCase ทั้งหมด'!B21="","",IFERROR(ROUND(AVERAGE(G21:I21),0),""))</f>
        <v/>
      </c>
      <c r="K21" s="34">
        <f>IF('1-UseCase ทั้งหมด'!B21="","",IFERROR(INDEX(DATA!$E$30:$E$33,MATCH('1-UseCase ทั้งหมด'!S21,DATA!$E$4:$E$7,0)),""))</f>
        <v/>
      </c>
      <c r="L21" s="34">
        <f>IF('1-UseCase ทั้งหมด'!B21="","",IFERROR(INDEX(DATA!$F$30:$F$32,MATCH('1-UseCase ทั้งหมด'!T21,DATA!$F$4:$F$6,0)),""))</f>
        <v/>
      </c>
      <c r="M21" s="35">
        <f>IF('1-UseCase ทั้งหมด'!B21="","",IFERROR(ROUND(AVERAGE(K21:L21),0),""))</f>
        <v/>
      </c>
      <c r="N21" s="34">
        <f>IF('1-UseCase ทั้งหมด'!B21="","",IFERROR(INDEX(DATA!$G$30:$G$32,MATCH('1-UseCase ทั้งหมด'!U21,DATA!$G$4:$G$6,0)),""))</f>
        <v/>
      </c>
      <c r="O21" s="34">
        <f>IF('1-UseCase ทั้งหมด'!B21="","",IFERROR(INDEX(DATA!$H$30:$H$32,MATCH('1-UseCase ทั้งหมด'!V21,DATA!$H$4:$H$6,0)),""))</f>
        <v/>
      </c>
      <c r="P21" s="34">
        <f>IF('1-UseCase ทั้งหมด'!B21="","",IFERROR(INDEX(DATA!$I$30:$I$33,MATCH('1-UseCase ทั้งหมด'!W21,DATA!$I$4:$I$7,0)),""))</f>
        <v/>
      </c>
      <c r="Q21" s="35">
        <f>IF('1-UseCase ทั้งหมด'!B21="","",IFERROR(ROUND(AVERAGE(N21:P21),0),""))</f>
        <v/>
      </c>
      <c r="R21" s="36">
        <f>IF('1-UseCase ทั้งหมด'!B21="","",IF(U21&gt;0,"",IFERROR(ROUND((F21*DATA!$AI$4+M21*DATA!$AI$5+J21*DATA!$AI$6+(6-Q21)*DATA!$AI$7)*20,1),"")))</f>
        <v/>
      </c>
      <c r="S21" s="35">
        <f>IF('1-UseCase ทั้งหมด'!B21="","",IF(U21&gt;0,"ข้อมูลไม่ครบ",IF(R21="","",IF(R21&gt;=DATA!$AI$10,"สูง",IF(R21&gt;=DATA!$AI$11,"กลาง","ต่ำ")))))</f>
        <v/>
      </c>
      <c r="T21" s="35">
        <f>IF('1-UseCase ทั้งหมด'!B21="","",IF(R21="","",RANK(R21,$R$7:$R$36,0)))</f>
        <v/>
      </c>
      <c r="U21" s="34">
        <f>IF('1-UseCase ทั้งหมด'!B21="","",COUNTBLANK('1-UseCase ทั้งหมด'!L21)+COUNTBLANK('1-UseCase ทั้งหมด'!M21)+COUNTBLANK('1-UseCase ทั้งหมด'!O21)+COUNTBLANK('1-UseCase ทั้งหมด'!P21)+COUNTBLANK('1-UseCase ทั้งหมด'!R21)+COUNTBLANK('1-UseCase ทั้งหมด'!S21)+COUNTBLANK('1-UseCase ทั้งหมด'!T21)+COUNTBLANK('1-UseCase ทั้งหมด'!U21)+COUNTBLANK('1-UseCase ทั้งหมด'!V21)+COUNTBLANK('1-UseCase ทั้งหมด'!W21))</f>
        <v/>
      </c>
    </row>
    <row r="22" ht="22" customHeight="1">
      <c r="A22" s="26">
        <f>IF('1-UseCase ทั้งหมด'!B22="","",'1-UseCase ทั้งหมด'!A22)</f>
        <v/>
      </c>
      <c r="B22" s="26">
        <f>IF('1-UseCase ทั้งหมด'!B22="","",'1-UseCase ทั้งหมด'!B22)</f>
        <v/>
      </c>
      <c r="C22" s="26">
        <f>IF('1-UseCase ทั้งหมด'!B22="","",'1-UseCase ทั้งหมด'!D22)</f>
        <v/>
      </c>
      <c r="D22" s="34">
        <f>IF('1-UseCase ทั้งหมด'!B22="","",IFERROR(INDEX(DATA!$R$30:$R$34,MATCH('1-UseCase ทั้งหมด'!L22,DATA!$R$4:$R$8,0)),""))</f>
        <v/>
      </c>
      <c r="E22" s="34">
        <f>IF('1-UseCase ทั้งหมด'!B22="","",IFERROR(INDEX(DATA!$S$30:$S$34,MATCH('1-UseCase ทั้งหมด'!M22,DATA!$S$4:$S$8,0)),""))</f>
        <v/>
      </c>
      <c r="F22" s="35">
        <f>IF('1-UseCase ทั้งหมด'!B22="","",IF(D22="",IF(AND(E22&lt;&gt;"",E22&lt;&gt;"-"),E22,""),IF(AND(E22&lt;&gt;"",E22&lt;&gt;"-"),ROUND((D22+E22)/2,0),D22)))</f>
        <v/>
      </c>
      <c r="G22" s="34">
        <f>IF('1-UseCase ทั้งหมด'!B22="","",IFERROR(INDEX(DATA!$B$30:$B$35,MATCH('1-UseCase ทั้งหมด'!O22,DATA!$B$4:$B$9,0)),""))</f>
        <v/>
      </c>
      <c r="H22" s="34">
        <f>IF('1-UseCase ทั้งหมด'!B22="","",IFERROR(INDEX(DATA!$C$30:$C$33,MATCH('1-UseCase ทั้งหมด'!P22,DATA!$C$4:$C$7,0)),""))</f>
        <v/>
      </c>
      <c r="I22" s="34">
        <f>IF('1-UseCase ทั้งหมด'!B22="","",IFERROR(INDEX(DATA!$D$30:$D$32,MATCH('1-UseCase ทั้งหมด'!R22,DATA!$D$4:$D$6,0)),""))</f>
        <v/>
      </c>
      <c r="J22" s="35">
        <f>IF('1-UseCase ทั้งหมด'!B22="","",IFERROR(ROUND(AVERAGE(G22:I22),0),""))</f>
        <v/>
      </c>
      <c r="K22" s="34">
        <f>IF('1-UseCase ทั้งหมด'!B22="","",IFERROR(INDEX(DATA!$E$30:$E$33,MATCH('1-UseCase ทั้งหมด'!S22,DATA!$E$4:$E$7,0)),""))</f>
        <v/>
      </c>
      <c r="L22" s="34">
        <f>IF('1-UseCase ทั้งหมด'!B22="","",IFERROR(INDEX(DATA!$F$30:$F$32,MATCH('1-UseCase ทั้งหมด'!T22,DATA!$F$4:$F$6,0)),""))</f>
        <v/>
      </c>
      <c r="M22" s="35">
        <f>IF('1-UseCase ทั้งหมด'!B22="","",IFERROR(ROUND(AVERAGE(K22:L22),0),""))</f>
        <v/>
      </c>
      <c r="N22" s="34">
        <f>IF('1-UseCase ทั้งหมด'!B22="","",IFERROR(INDEX(DATA!$G$30:$G$32,MATCH('1-UseCase ทั้งหมด'!U22,DATA!$G$4:$G$6,0)),""))</f>
        <v/>
      </c>
      <c r="O22" s="34">
        <f>IF('1-UseCase ทั้งหมด'!B22="","",IFERROR(INDEX(DATA!$H$30:$H$32,MATCH('1-UseCase ทั้งหมด'!V22,DATA!$H$4:$H$6,0)),""))</f>
        <v/>
      </c>
      <c r="P22" s="34">
        <f>IF('1-UseCase ทั้งหมด'!B22="","",IFERROR(INDEX(DATA!$I$30:$I$33,MATCH('1-UseCase ทั้งหมด'!W22,DATA!$I$4:$I$7,0)),""))</f>
        <v/>
      </c>
      <c r="Q22" s="35">
        <f>IF('1-UseCase ทั้งหมด'!B22="","",IFERROR(ROUND(AVERAGE(N22:P22),0),""))</f>
        <v/>
      </c>
      <c r="R22" s="36">
        <f>IF('1-UseCase ทั้งหมด'!B22="","",IF(U22&gt;0,"",IFERROR(ROUND((F22*DATA!$AI$4+M22*DATA!$AI$5+J22*DATA!$AI$6+(6-Q22)*DATA!$AI$7)*20,1),"")))</f>
        <v/>
      </c>
      <c r="S22" s="35">
        <f>IF('1-UseCase ทั้งหมด'!B22="","",IF(U22&gt;0,"ข้อมูลไม่ครบ",IF(R22="","",IF(R22&gt;=DATA!$AI$10,"สูง",IF(R22&gt;=DATA!$AI$11,"กลาง","ต่ำ")))))</f>
        <v/>
      </c>
      <c r="T22" s="35">
        <f>IF('1-UseCase ทั้งหมด'!B22="","",IF(R22="","",RANK(R22,$R$7:$R$36,0)))</f>
        <v/>
      </c>
      <c r="U22" s="34">
        <f>IF('1-UseCase ทั้งหมด'!B22="","",COUNTBLANK('1-UseCase ทั้งหมด'!L22)+COUNTBLANK('1-UseCase ทั้งหมด'!M22)+COUNTBLANK('1-UseCase ทั้งหมด'!O22)+COUNTBLANK('1-UseCase ทั้งหมด'!P22)+COUNTBLANK('1-UseCase ทั้งหมด'!R22)+COUNTBLANK('1-UseCase ทั้งหมด'!S22)+COUNTBLANK('1-UseCase ทั้งหมด'!T22)+COUNTBLANK('1-UseCase ทั้งหมด'!U22)+COUNTBLANK('1-UseCase ทั้งหมด'!V22)+COUNTBLANK('1-UseCase ทั้งหมด'!W22))</f>
        <v/>
      </c>
    </row>
    <row r="23" ht="22" customHeight="1">
      <c r="A23" s="26">
        <f>IF('1-UseCase ทั้งหมด'!B23="","",'1-UseCase ทั้งหมด'!A23)</f>
        <v/>
      </c>
      <c r="B23" s="26">
        <f>IF('1-UseCase ทั้งหมด'!B23="","",'1-UseCase ทั้งหมด'!B23)</f>
        <v/>
      </c>
      <c r="C23" s="26">
        <f>IF('1-UseCase ทั้งหมด'!B23="","",'1-UseCase ทั้งหมด'!D23)</f>
        <v/>
      </c>
      <c r="D23" s="34">
        <f>IF('1-UseCase ทั้งหมด'!B23="","",IFERROR(INDEX(DATA!$R$30:$R$34,MATCH('1-UseCase ทั้งหมด'!L23,DATA!$R$4:$R$8,0)),""))</f>
        <v/>
      </c>
      <c r="E23" s="34">
        <f>IF('1-UseCase ทั้งหมด'!B23="","",IFERROR(INDEX(DATA!$S$30:$S$34,MATCH('1-UseCase ทั้งหมด'!M23,DATA!$S$4:$S$8,0)),""))</f>
        <v/>
      </c>
      <c r="F23" s="35">
        <f>IF('1-UseCase ทั้งหมด'!B23="","",IF(D23="",IF(AND(E23&lt;&gt;"",E23&lt;&gt;"-"),E23,""),IF(AND(E23&lt;&gt;"",E23&lt;&gt;"-"),ROUND((D23+E23)/2,0),D23)))</f>
        <v/>
      </c>
      <c r="G23" s="34">
        <f>IF('1-UseCase ทั้งหมด'!B23="","",IFERROR(INDEX(DATA!$B$30:$B$35,MATCH('1-UseCase ทั้งหมด'!O23,DATA!$B$4:$B$9,0)),""))</f>
        <v/>
      </c>
      <c r="H23" s="34">
        <f>IF('1-UseCase ทั้งหมด'!B23="","",IFERROR(INDEX(DATA!$C$30:$C$33,MATCH('1-UseCase ทั้งหมด'!P23,DATA!$C$4:$C$7,0)),""))</f>
        <v/>
      </c>
      <c r="I23" s="34">
        <f>IF('1-UseCase ทั้งหมด'!B23="","",IFERROR(INDEX(DATA!$D$30:$D$32,MATCH('1-UseCase ทั้งหมด'!R23,DATA!$D$4:$D$6,0)),""))</f>
        <v/>
      </c>
      <c r="J23" s="35">
        <f>IF('1-UseCase ทั้งหมด'!B23="","",IFERROR(ROUND(AVERAGE(G23:I23),0),""))</f>
        <v/>
      </c>
      <c r="K23" s="34">
        <f>IF('1-UseCase ทั้งหมด'!B23="","",IFERROR(INDEX(DATA!$E$30:$E$33,MATCH('1-UseCase ทั้งหมด'!S23,DATA!$E$4:$E$7,0)),""))</f>
        <v/>
      </c>
      <c r="L23" s="34">
        <f>IF('1-UseCase ทั้งหมด'!B23="","",IFERROR(INDEX(DATA!$F$30:$F$32,MATCH('1-UseCase ทั้งหมด'!T23,DATA!$F$4:$F$6,0)),""))</f>
        <v/>
      </c>
      <c r="M23" s="35">
        <f>IF('1-UseCase ทั้งหมด'!B23="","",IFERROR(ROUND(AVERAGE(K23:L23),0),""))</f>
        <v/>
      </c>
      <c r="N23" s="34">
        <f>IF('1-UseCase ทั้งหมด'!B23="","",IFERROR(INDEX(DATA!$G$30:$G$32,MATCH('1-UseCase ทั้งหมด'!U23,DATA!$G$4:$G$6,0)),""))</f>
        <v/>
      </c>
      <c r="O23" s="34">
        <f>IF('1-UseCase ทั้งหมด'!B23="","",IFERROR(INDEX(DATA!$H$30:$H$32,MATCH('1-UseCase ทั้งหมด'!V23,DATA!$H$4:$H$6,0)),""))</f>
        <v/>
      </c>
      <c r="P23" s="34">
        <f>IF('1-UseCase ทั้งหมด'!B23="","",IFERROR(INDEX(DATA!$I$30:$I$33,MATCH('1-UseCase ทั้งหมด'!W23,DATA!$I$4:$I$7,0)),""))</f>
        <v/>
      </c>
      <c r="Q23" s="35">
        <f>IF('1-UseCase ทั้งหมด'!B23="","",IFERROR(ROUND(AVERAGE(N23:P23),0),""))</f>
        <v/>
      </c>
      <c r="R23" s="36">
        <f>IF('1-UseCase ทั้งหมด'!B23="","",IF(U23&gt;0,"",IFERROR(ROUND((F23*DATA!$AI$4+M23*DATA!$AI$5+J23*DATA!$AI$6+(6-Q23)*DATA!$AI$7)*20,1),"")))</f>
        <v/>
      </c>
      <c r="S23" s="35">
        <f>IF('1-UseCase ทั้งหมด'!B23="","",IF(U23&gt;0,"ข้อมูลไม่ครบ",IF(R23="","",IF(R23&gt;=DATA!$AI$10,"สูง",IF(R23&gt;=DATA!$AI$11,"กลาง","ต่ำ")))))</f>
        <v/>
      </c>
      <c r="T23" s="35">
        <f>IF('1-UseCase ทั้งหมด'!B23="","",IF(R23="","",RANK(R23,$R$7:$R$36,0)))</f>
        <v/>
      </c>
      <c r="U23" s="34">
        <f>IF('1-UseCase ทั้งหมด'!B23="","",COUNTBLANK('1-UseCase ทั้งหมด'!L23)+COUNTBLANK('1-UseCase ทั้งหมด'!M23)+COUNTBLANK('1-UseCase ทั้งหมด'!O23)+COUNTBLANK('1-UseCase ทั้งหมด'!P23)+COUNTBLANK('1-UseCase ทั้งหมด'!R23)+COUNTBLANK('1-UseCase ทั้งหมด'!S23)+COUNTBLANK('1-UseCase ทั้งหมด'!T23)+COUNTBLANK('1-UseCase ทั้งหมด'!U23)+COUNTBLANK('1-UseCase ทั้งหมด'!V23)+COUNTBLANK('1-UseCase ทั้งหมด'!W23))</f>
        <v/>
      </c>
    </row>
    <row r="24" ht="22" customHeight="1">
      <c r="A24" s="26">
        <f>IF('1-UseCase ทั้งหมด'!B24="","",'1-UseCase ทั้งหมด'!A24)</f>
        <v/>
      </c>
      <c r="B24" s="26">
        <f>IF('1-UseCase ทั้งหมด'!B24="","",'1-UseCase ทั้งหมด'!B24)</f>
        <v/>
      </c>
      <c r="C24" s="26">
        <f>IF('1-UseCase ทั้งหมด'!B24="","",'1-UseCase ทั้งหมด'!D24)</f>
        <v/>
      </c>
      <c r="D24" s="34">
        <f>IF('1-UseCase ทั้งหมด'!B24="","",IFERROR(INDEX(DATA!$R$30:$R$34,MATCH('1-UseCase ทั้งหมด'!L24,DATA!$R$4:$R$8,0)),""))</f>
        <v/>
      </c>
      <c r="E24" s="34">
        <f>IF('1-UseCase ทั้งหมด'!B24="","",IFERROR(INDEX(DATA!$S$30:$S$34,MATCH('1-UseCase ทั้งหมด'!M24,DATA!$S$4:$S$8,0)),""))</f>
        <v/>
      </c>
      <c r="F24" s="35">
        <f>IF('1-UseCase ทั้งหมด'!B24="","",IF(D24="",IF(AND(E24&lt;&gt;"",E24&lt;&gt;"-"),E24,""),IF(AND(E24&lt;&gt;"",E24&lt;&gt;"-"),ROUND((D24+E24)/2,0),D24)))</f>
        <v/>
      </c>
      <c r="G24" s="34">
        <f>IF('1-UseCase ทั้งหมด'!B24="","",IFERROR(INDEX(DATA!$B$30:$B$35,MATCH('1-UseCase ทั้งหมด'!O24,DATA!$B$4:$B$9,0)),""))</f>
        <v/>
      </c>
      <c r="H24" s="34">
        <f>IF('1-UseCase ทั้งหมด'!B24="","",IFERROR(INDEX(DATA!$C$30:$C$33,MATCH('1-UseCase ทั้งหมด'!P24,DATA!$C$4:$C$7,0)),""))</f>
        <v/>
      </c>
      <c r="I24" s="34">
        <f>IF('1-UseCase ทั้งหมด'!B24="","",IFERROR(INDEX(DATA!$D$30:$D$32,MATCH('1-UseCase ทั้งหมด'!R24,DATA!$D$4:$D$6,0)),""))</f>
        <v/>
      </c>
      <c r="J24" s="35">
        <f>IF('1-UseCase ทั้งหมด'!B24="","",IFERROR(ROUND(AVERAGE(G24:I24),0),""))</f>
        <v/>
      </c>
      <c r="K24" s="34">
        <f>IF('1-UseCase ทั้งหมด'!B24="","",IFERROR(INDEX(DATA!$E$30:$E$33,MATCH('1-UseCase ทั้งหมด'!S24,DATA!$E$4:$E$7,0)),""))</f>
        <v/>
      </c>
      <c r="L24" s="34">
        <f>IF('1-UseCase ทั้งหมด'!B24="","",IFERROR(INDEX(DATA!$F$30:$F$32,MATCH('1-UseCase ทั้งหมด'!T24,DATA!$F$4:$F$6,0)),""))</f>
        <v/>
      </c>
      <c r="M24" s="35">
        <f>IF('1-UseCase ทั้งหมด'!B24="","",IFERROR(ROUND(AVERAGE(K24:L24),0),""))</f>
        <v/>
      </c>
      <c r="N24" s="34">
        <f>IF('1-UseCase ทั้งหมด'!B24="","",IFERROR(INDEX(DATA!$G$30:$G$32,MATCH('1-UseCase ทั้งหมด'!U24,DATA!$G$4:$G$6,0)),""))</f>
        <v/>
      </c>
      <c r="O24" s="34">
        <f>IF('1-UseCase ทั้งหมด'!B24="","",IFERROR(INDEX(DATA!$H$30:$H$32,MATCH('1-UseCase ทั้งหมด'!V24,DATA!$H$4:$H$6,0)),""))</f>
        <v/>
      </c>
      <c r="P24" s="34">
        <f>IF('1-UseCase ทั้งหมด'!B24="","",IFERROR(INDEX(DATA!$I$30:$I$33,MATCH('1-UseCase ทั้งหมด'!W24,DATA!$I$4:$I$7,0)),""))</f>
        <v/>
      </c>
      <c r="Q24" s="35">
        <f>IF('1-UseCase ทั้งหมด'!B24="","",IFERROR(ROUND(AVERAGE(N24:P24),0),""))</f>
        <v/>
      </c>
      <c r="R24" s="36">
        <f>IF('1-UseCase ทั้งหมด'!B24="","",IF(U24&gt;0,"",IFERROR(ROUND((F24*DATA!$AI$4+M24*DATA!$AI$5+J24*DATA!$AI$6+(6-Q24)*DATA!$AI$7)*20,1),"")))</f>
        <v/>
      </c>
      <c r="S24" s="35">
        <f>IF('1-UseCase ทั้งหมด'!B24="","",IF(U24&gt;0,"ข้อมูลไม่ครบ",IF(R24="","",IF(R24&gt;=DATA!$AI$10,"สูง",IF(R24&gt;=DATA!$AI$11,"กลาง","ต่ำ")))))</f>
        <v/>
      </c>
      <c r="T24" s="35">
        <f>IF('1-UseCase ทั้งหมด'!B24="","",IF(R24="","",RANK(R24,$R$7:$R$36,0)))</f>
        <v/>
      </c>
      <c r="U24" s="34">
        <f>IF('1-UseCase ทั้งหมด'!B24="","",COUNTBLANK('1-UseCase ทั้งหมด'!L24)+COUNTBLANK('1-UseCase ทั้งหมด'!M24)+COUNTBLANK('1-UseCase ทั้งหมด'!O24)+COUNTBLANK('1-UseCase ทั้งหมด'!P24)+COUNTBLANK('1-UseCase ทั้งหมด'!R24)+COUNTBLANK('1-UseCase ทั้งหมด'!S24)+COUNTBLANK('1-UseCase ทั้งหมด'!T24)+COUNTBLANK('1-UseCase ทั้งหมด'!U24)+COUNTBLANK('1-UseCase ทั้งหมด'!V24)+COUNTBLANK('1-UseCase ทั้งหมด'!W24))</f>
        <v/>
      </c>
    </row>
    <row r="25" ht="22" customHeight="1">
      <c r="A25" s="26">
        <f>IF('1-UseCase ทั้งหมด'!B25="","",'1-UseCase ทั้งหมด'!A25)</f>
        <v/>
      </c>
      <c r="B25" s="26">
        <f>IF('1-UseCase ทั้งหมด'!B25="","",'1-UseCase ทั้งหมด'!B25)</f>
        <v/>
      </c>
      <c r="C25" s="26">
        <f>IF('1-UseCase ทั้งหมด'!B25="","",'1-UseCase ทั้งหมด'!D25)</f>
        <v/>
      </c>
      <c r="D25" s="34">
        <f>IF('1-UseCase ทั้งหมด'!B25="","",IFERROR(INDEX(DATA!$R$30:$R$34,MATCH('1-UseCase ทั้งหมด'!L25,DATA!$R$4:$R$8,0)),""))</f>
        <v/>
      </c>
      <c r="E25" s="34">
        <f>IF('1-UseCase ทั้งหมด'!B25="","",IFERROR(INDEX(DATA!$S$30:$S$34,MATCH('1-UseCase ทั้งหมด'!M25,DATA!$S$4:$S$8,0)),""))</f>
        <v/>
      </c>
      <c r="F25" s="35">
        <f>IF('1-UseCase ทั้งหมด'!B25="","",IF(D25="",IF(AND(E25&lt;&gt;"",E25&lt;&gt;"-"),E25,""),IF(AND(E25&lt;&gt;"",E25&lt;&gt;"-"),ROUND((D25+E25)/2,0),D25)))</f>
        <v/>
      </c>
      <c r="G25" s="34">
        <f>IF('1-UseCase ทั้งหมด'!B25="","",IFERROR(INDEX(DATA!$B$30:$B$35,MATCH('1-UseCase ทั้งหมด'!O25,DATA!$B$4:$B$9,0)),""))</f>
        <v/>
      </c>
      <c r="H25" s="34">
        <f>IF('1-UseCase ทั้งหมด'!B25="","",IFERROR(INDEX(DATA!$C$30:$C$33,MATCH('1-UseCase ทั้งหมด'!P25,DATA!$C$4:$C$7,0)),""))</f>
        <v/>
      </c>
      <c r="I25" s="34">
        <f>IF('1-UseCase ทั้งหมด'!B25="","",IFERROR(INDEX(DATA!$D$30:$D$32,MATCH('1-UseCase ทั้งหมด'!R25,DATA!$D$4:$D$6,0)),""))</f>
        <v/>
      </c>
      <c r="J25" s="35">
        <f>IF('1-UseCase ทั้งหมด'!B25="","",IFERROR(ROUND(AVERAGE(G25:I25),0),""))</f>
        <v/>
      </c>
      <c r="K25" s="34">
        <f>IF('1-UseCase ทั้งหมด'!B25="","",IFERROR(INDEX(DATA!$E$30:$E$33,MATCH('1-UseCase ทั้งหมด'!S25,DATA!$E$4:$E$7,0)),""))</f>
        <v/>
      </c>
      <c r="L25" s="34">
        <f>IF('1-UseCase ทั้งหมด'!B25="","",IFERROR(INDEX(DATA!$F$30:$F$32,MATCH('1-UseCase ทั้งหมด'!T25,DATA!$F$4:$F$6,0)),""))</f>
        <v/>
      </c>
      <c r="M25" s="35">
        <f>IF('1-UseCase ทั้งหมด'!B25="","",IFERROR(ROUND(AVERAGE(K25:L25),0),""))</f>
        <v/>
      </c>
      <c r="N25" s="34">
        <f>IF('1-UseCase ทั้งหมด'!B25="","",IFERROR(INDEX(DATA!$G$30:$G$32,MATCH('1-UseCase ทั้งหมด'!U25,DATA!$G$4:$G$6,0)),""))</f>
        <v/>
      </c>
      <c r="O25" s="34">
        <f>IF('1-UseCase ทั้งหมด'!B25="","",IFERROR(INDEX(DATA!$H$30:$H$32,MATCH('1-UseCase ทั้งหมด'!V25,DATA!$H$4:$H$6,0)),""))</f>
        <v/>
      </c>
      <c r="P25" s="34">
        <f>IF('1-UseCase ทั้งหมด'!B25="","",IFERROR(INDEX(DATA!$I$30:$I$33,MATCH('1-UseCase ทั้งหมด'!W25,DATA!$I$4:$I$7,0)),""))</f>
        <v/>
      </c>
      <c r="Q25" s="35">
        <f>IF('1-UseCase ทั้งหมด'!B25="","",IFERROR(ROUND(AVERAGE(N25:P25),0),""))</f>
        <v/>
      </c>
      <c r="R25" s="36">
        <f>IF('1-UseCase ทั้งหมด'!B25="","",IF(U25&gt;0,"",IFERROR(ROUND((F25*DATA!$AI$4+M25*DATA!$AI$5+J25*DATA!$AI$6+(6-Q25)*DATA!$AI$7)*20,1),"")))</f>
        <v/>
      </c>
      <c r="S25" s="35">
        <f>IF('1-UseCase ทั้งหมด'!B25="","",IF(U25&gt;0,"ข้อมูลไม่ครบ",IF(R25="","",IF(R25&gt;=DATA!$AI$10,"สูง",IF(R25&gt;=DATA!$AI$11,"กลาง","ต่ำ")))))</f>
        <v/>
      </c>
      <c r="T25" s="35">
        <f>IF('1-UseCase ทั้งหมด'!B25="","",IF(R25="","",RANK(R25,$R$7:$R$36,0)))</f>
        <v/>
      </c>
      <c r="U25" s="34">
        <f>IF('1-UseCase ทั้งหมด'!B25="","",COUNTBLANK('1-UseCase ทั้งหมด'!L25)+COUNTBLANK('1-UseCase ทั้งหมด'!M25)+COUNTBLANK('1-UseCase ทั้งหมด'!O25)+COUNTBLANK('1-UseCase ทั้งหมด'!P25)+COUNTBLANK('1-UseCase ทั้งหมด'!R25)+COUNTBLANK('1-UseCase ทั้งหมด'!S25)+COUNTBLANK('1-UseCase ทั้งหมด'!T25)+COUNTBLANK('1-UseCase ทั้งหมด'!U25)+COUNTBLANK('1-UseCase ทั้งหมด'!V25)+COUNTBLANK('1-UseCase ทั้งหมด'!W25))</f>
        <v/>
      </c>
    </row>
    <row r="26" ht="22" customHeight="1">
      <c r="A26" s="26">
        <f>IF('1-UseCase ทั้งหมด'!B26="","",'1-UseCase ทั้งหมด'!A26)</f>
        <v/>
      </c>
      <c r="B26" s="26">
        <f>IF('1-UseCase ทั้งหมด'!B26="","",'1-UseCase ทั้งหมด'!B26)</f>
        <v/>
      </c>
      <c r="C26" s="26">
        <f>IF('1-UseCase ทั้งหมด'!B26="","",'1-UseCase ทั้งหมด'!D26)</f>
        <v/>
      </c>
      <c r="D26" s="34">
        <f>IF('1-UseCase ทั้งหมด'!B26="","",IFERROR(INDEX(DATA!$R$30:$R$34,MATCH('1-UseCase ทั้งหมด'!L26,DATA!$R$4:$R$8,0)),""))</f>
        <v/>
      </c>
      <c r="E26" s="34">
        <f>IF('1-UseCase ทั้งหมด'!B26="","",IFERROR(INDEX(DATA!$S$30:$S$34,MATCH('1-UseCase ทั้งหมด'!M26,DATA!$S$4:$S$8,0)),""))</f>
        <v/>
      </c>
      <c r="F26" s="35">
        <f>IF('1-UseCase ทั้งหมด'!B26="","",IF(D26="",IF(AND(E26&lt;&gt;"",E26&lt;&gt;"-"),E26,""),IF(AND(E26&lt;&gt;"",E26&lt;&gt;"-"),ROUND((D26+E26)/2,0),D26)))</f>
        <v/>
      </c>
      <c r="G26" s="34">
        <f>IF('1-UseCase ทั้งหมด'!B26="","",IFERROR(INDEX(DATA!$B$30:$B$35,MATCH('1-UseCase ทั้งหมด'!O26,DATA!$B$4:$B$9,0)),""))</f>
        <v/>
      </c>
      <c r="H26" s="34">
        <f>IF('1-UseCase ทั้งหมด'!B26="","",IFERROR(INDEX(DATA!$C$30:$C$33,MATCH('1-UseCase ทั้งหมด'!P26,DATA!$C$4:$C$7,0)),""))</f>
        <v/>
      </c>
      <c r="I26" s="34">
        <f>IF('1-UseCase ทั้งหมด'!B26="","",IFERROR(INDEX(DATA!$D$30:$D$32,MATCH('1-UseCase ทั้งหมด'!R26,DATA!$D$4:$D$6,0)),""))</f>
        <v/>
      </c>
      <c r="J26" s="35">
        <f>IF('1-UseCase ทั้งหมด'!B26="","",IFERROR(ROUND(AVERAGE(G26:I26),0),""))</f>
        <v/>
      </c>
      <c r="K26" s="34">
        <f>IF('1-UseCase ทั้งหมด'!B26="","",IFERROR(INDEX(DATA!$E$30:$E$33,MATCH('1-UseCase ทั้งหมด'!S26,DATA!$E$4:$E$7,0)),""))</f>
        <v/>
      </c>
      <c r="L26" s="34">
        <f>IF('1-UseCase ทั้งหมด'!B26="","",IFERROR(INDEX(DATA!$F$30:$F$32,MATCH('1-UseCase ทั้งหมด'!T26,DATA!$F$4:$F$6,0)),""))</f>
        <v/>
      </c>
      <c r="M26" s="35">
        <f>IF('1-UseCase ทั้งหมด'!B26="","",IFERROR(ROUND(AVERAGE(K26:L26),0),""))</f>
        <v/>
      </c>
      <c r="N26" s="34">
        <f>IF('1-UseCase ทั้งหมด'!B26="","",IFERROR(INDEX(DATA!$G$30:$G$32,MATCH('1-UseCase ทั้งหมด'!U26,DATA!$G$4:$G$6,0)),""))</f>
        <v/>
      </c>
      <c r="O26" s="34">
        <f>IF('1-UseCase ทั้งหมด'!B26="","",IFERROR(INDEX(DATA!$H$30:$H$32,MATCH('1-UseCase ทั้งหมด'!V26,DATA!$H$4:$H$6,0)),""))</f>
        <v/>
      </c>
      <c r="P26" s="34">
        <f>IF('1-UseCase ทั้งหมด'!B26="","",IFERROR(INDEX(DATA!$I$30:$I$33,MATCH('1-UseCase ทั้งหมด'!W26,DATA!$I$4:$I$7,0)),""))</f>
        <v/>
      </c>
      <c r="Q26" s="35">
        <f>IF('1-UseCase ทั้งหมด'!B26="","",IFERROR(ROUND(AVERAGE(N26:P26),0),""))</f>
        <v/>
      </c>
      <c r="R26" s="36">
        <f>IF('1-UseCase ทั้งหมด'!B26="","",IF(U26&gt;0,"",IFERROR(ROUND((F26*DATA!$AI$4+M26*DATA!$AI$5+J26*DATA!$AI$6+(6-Q26)*DATA!$AI$7)*20,1),"")))</f>
        <v/>
      </c>
      <c r="S26" s="35">
        <f>IF('1-UseCase ทั้งหมด'!B26="","",IF(U26&gt;0,"ข้อมูลไม่ครบ",IF(R26="","",IF(R26&gt;=DATA!$AI$10,"สูง",IF(R26&gt;=DATA!$AI$11,"กลาง","ต่ำ")))))</f>
        <v/>
      </c>
      <c r="T26" s="35">
        <f>IF('1-UseCase ทั้งหมด'!B26="","",IF(R26="","",RANK(R26,$R$7:$R$36,0)))</f>
        <v/>
      </c>
      <c r="U26" s="34">
        <f>IF('1-UseCase ทั้งหมด'!B26="","",COUNTBLANK('1-UseCase ทั้งหมด'!L26)+COUNTBLANK('1-UseCase ทั้งหมด'!M26)+COUNTBLANK('1-UseCase ทั้งหมด'!O26)+COUNTBLANK('1-UseCase ทั้งหมด'!P26)+COUNTBLANK('1-UseCase ทั้งหมด'!R26)+COUNTBLANK('1-UseCase ทั้งหมด'!S26)+COUNTBLANK('1-UseCase ทั้งหมด'!T26)+COUNTBLANK('1-UseCase ทั้งหมด'!U26)+COUNTBLANK('1-UseCase ทั้งหมด'!V26)+COUNTBLANK('1-UseCase ทั้งหมด'!W26))</f>
        <v/>
      </c>
    </row>
    <row r="27" ht="22" customHeight="1">
      <c r="A27" s="26">
        <f>IF('1-UseCase ทั้งหมด'!B27="","",'1-UseCase ทั้งหมด'!A27)</f>
        <v/>
      </c>
      <c r="B27" s="26">
        <f>IF('1-UseCase ทั้งหมด'!B27="","",'1-UseCase ทั้งหมด'!B27)</f>
        <v/>
      </c>
      <c r="C27" s="26">
        <f>IF('1-UseCase ทั้งหมด'!B27="","",'1-UseCase ทั้งหมด'!D27)</f>
        <v/>
      </c>
      <c r="D27" s="34">
        <f>IF('1-UseCase ทั้งหมด'!B27="","",IFERROR(INDEX(DATA!$R$30:$R$34,MATCH('1-UseCase ทั้งหมด'!L27,DATA!$R$4:$R$8,0)),""))</f>
        <v/>
      </c>
      <c r="E27" s="34">
        <f>IF('1-UseCase ทั้งหมด'!B27="","",IFERROR(INDEX(DATA!$S$30:$S$34,MATCH('1-UseCase ทั้งหมด'!M27,DATA!$S$4:$S$8,0)),""))</f>
        <v/>
      </c>
      <c r="F27" s="35">
        <f>IF('1-UseCase ทั้งหมด'!B27="","",IF(D27="",IF(AND(E27&lt;&gt;"",E27&lt;&gt;"-"),E27,""),IF(AND(E27&lt;&gt;"",E27&lt;&gt;"-"),ROUND((D27+E27)/2,0),D27)))</f>
        <v/>
      </c>
      <c r="G27" s="34">
        <f>IF('1-UseCase ทั้งหมด'!B27="","",IFERROR(INDEX(DATA!$B$30:$B$35,MATCH('1-UseCase ทั้งหมด'!O27,DATA!$B$4:$B$9,0)),""))</f>
        <v/>
      </c>
      <c r="H27" s="34">
        <f>IF('1-UseCase ทั้งหมด'!B27="","",IFERROR(INDEX(DATA!$C$30:$C$33,MATCH('1-UseCase ทั้งหมด'!P27,DATA!$C$4:$C$7,0)),""))</f>
        <v/>
      </c>
      <c r="I27" s="34">
        <f>IF('1-UseCase ทั้งหมด'!B27="","",IFERROR(INDEX(DATA!$D$30:$D$32,MATCH('1-UseCase ทั้งหมด'!R27,DATA!$D$4:$D$6,0)),""))</f>
        <v/>
      </c>
      <c r="J27" s="35">
        <f>IF('1-UseCase ทั้งหมด'!B27="","",IFERROR(ROUND(AVERAGE(G27:I27),0),""))</f>
        <v/>
      </c>
      <c r="K27" s="34">
        <f>IF('1-UseCase ทั้งหมด'!B27="","",IFERROR(INDEX(DATA!$E$30:$E$33,MATCH('1-UseCase ทั้งหมด'!S27,DATA!$E$4:$E$7,0)),""))</f>
        <v/>
      </c>
      <c r="L27" s="34">
        <f>IF('1-UseCase ทั้งหมด'!B27="","",IFERROR(INDEX(DATA!$F$30:$F$32,MATCH('1-UseCase ทั้งหมด'!T27,DATA!$F$4:$F$6,0)),""))</f>
        <v/>
      </c>
      <c r="M27" s="35">
        <f>IF('1-UseCase ทั้งหมด'!B27="","",IFERROR(ROUND(AVERAGE(K27:L27),0),""))</f>
        <v/>
      </c>
      <c r="N27" s="34">
        <f>IF('1-UseCase ทั้งหมด'!B27="","",IFERROR(INDEX(DATA!$G$30:$G$32,MATCH('1-UseCase ทั้งหมด'!U27,DATA!$G$4:$G$6,0)),""))</f>
        <v/>
      </c>
      <c r="O27" s="34">
        <f>IF('1-UseCase ทั้งหมด'!B27="","",IFERROR(INDEX(DATA!$H$30:$H$32,MATCH('1-UseCase ทั้งหมด'!V27,DATA!$H$4:$H$6,0)),""))</f>
        <v/>
      </c>
      <c r="P27" s="34">
        <f>IF('1-UseCase ทั้งหมด'!B27="","",IFERROR(INDEX(DATA!$I$30:$I$33,MATCH('1-UseCase ทั้งหมด'!W27,DATA!$I$4:$I$7,0)),""))</f>
        <v/>
      </c>
      <c r="Q27" s="35">
        <f>IF('1-UseCase ทั้งหมด'!B27="","",IFERROR(ROUND(AVERAGE(N27:P27),0),""))</f>
        <v/>
      </c>
      <c r="R27" s="36">
        <f>IF('1-UseCase ทั้งหมด'!B27="","",IF(U27&gt;0,"",IFERROR(ROUND((F27*DATA!$AI$4+M27*DATA!$AI$5+J27*DATA!$AI$6+(6-Q27)*DATA!$AI$7)*20,1),"")))</f>
        <v/>
      </c>
      <c r="S27" s="35">
        <f>IF('1-UseCase ทั้งหมด'!B27="","",IF(U27&gt;0,"ข้อมูลไม่ครบ",IF(R27="","",IF(R27&gt;=DATA!$AI$10,"สูง",IF(R27&gt;=DATA!$AI$11,"กลาง","ต่ำ")))))</f>
        <v/>
      </c>
      <c r="T27" s="35">
        <f>IF('1-UseCase ทั้งหมด'!B27="","",IF(R27="","",RANK(R27,$R$7:$R$36,0)))</f>
        <v/>
      </c>
      <c r="U27" s="34">
        <f>IF('1-UseCase ทั้งหมด'!B27="","",COUNTBLANK('1-UseCase ทั้งหมด'!L27)+COUNTBLANK('1-UseCase ทั้งหมด'!M27)+COUNTBLANK('1-UseCase ทั้งหมด'!O27)+COUNTBLANK('1-UseCase ทั้งหมด'!P27)+COUNTBLANK('1-UseCase ทั้งหมด'!R27)+COUNTBLANK('1-UseCase ทั้งหมด'!S27)+COUNTBLANK('1-UseCase ทั้งหมด'!T27)+COUNTBLANK('1-UseCase ทั้งหมด'!U27)+COUNTBLANK('1-UseCase ทั้งหมด'!V27)+COUNTBLANK('1-UseCase ทั้งหมด'!W27))</f>
        <v/>
      </c>
    </row>
    <row r="28" ht="22" customHeight="1">
      <c r="A28" s="26">
        <f>IF('1-UseCase ทั้งหมด'!B28="","",'1-UseCase ทั้งหมด'!A28)</f>
        <v/>
      </c>
      <c r="B28" s="26">
        <f>IF('1-UseCase ทั้งหมด'!B28="","",'1-UseCase ทั้งหมด'!B28)</f>
        <v/>
      </c>
      <c r="C28" s="26">
        <f>IF('1-UseCase ทั้งหมด'!B28="","",'1-UseCase ทั้งหมด'!D28)</f>
        <v/>
      </c>
      <c r="D28" s="34">
        <f>IF('1-UseCase ทั้งหมด'!B28="","",IFERROR(INDEX(DATA!$R$30:$R$34,MATCH('1-UseCase ทั้งหมด'!L28,DATA!$R$4:$R$8,0)),""))</f>
        <v/>
      </c>
      <c r="E28" s="34">
        <f>IF('1-UseCase ทั้งหมด'!B28="","",IFERROR(INDEX(DATA!$S$30:$S$34,MATCH('1-UseCase ทั้งหมด'!M28,DATA!$S$4:$S$8,0)),""))</f>
        <v/>
      </c>
      <c r="F28" s="35">
        <f>IF('1-UseCase ทั้งหมด'!B28="","",IF(D28="",IF(AND(E28&lt;&gt;"",E28&lt;&gt;"-"),E28,""),IF(AND(E28&lt;&gt;"",E28&lt;&gt;"-"),ROUND((D28+E28)/2,0),D28)))</f>
        <v/>
      </c>
      <c r="G28" s="34">
        <f>IF('1-UseCase ทั้งหมด'!B28="","",IFERROR(INDEX(DATA!$B$30:$B$35,MATCH('1-UseCase ทั้งหมด'!O28,DATA!$B$4:$B$9,0)),""))</f>
        <v/>
      </c>
      <c r="H28" s="34">
        <f>IF('1-UseCase ทั้งหมด'!B28="","",IFERROR(INDEX(DATA!$C$30:$C$33,MATCH('1-UseCase ทั้งหมด'!P28,DATA!$C$4:$C$7,0)),""))</f>
        <v/>
      </c>
      <c r="I28" s="34">
        <f>IF('1-UseCase ทั้งหมด'!B28="","",IFERROR(INDEX(DATA!$D$30:$D$32,MATCH('1-UseCase ทั้งหมด'!R28,DATA!$D$4:$D$6,0)),""))</f>
        <v/>
      </c>
      <c r="J28" s="35">
        <f>IF('1-UseCase ทั้งหมด'!B28="","",IFERROR(ROUND(AVERAGE(G28:I28),0),""))</f>
        <v/>
      </c>
      <c r="K28" s="34">
        <f>IF('1-UseCase ทั้งหมด'!B28="","",IFERROR(INDEX(DATA!$E$30:$E$33,MATCH('1-UseCase ทั้งหมด'!S28,DATA!$E$4:$E$7,0)),""))</f>
        <v/>
      </c>
      <c r="L28" s="34">
        <f>IF('1-UseCase ทั้งหมด'!B28="","",IFERROR(INDEX(DATA!$F$30:$F$32,MATCH('1-UseCase ทั้งหมด'!T28,DATA!$F$4:$F$6,0)),""))</f>
        <v/>
      </c>
      <c r="M28" s="35">
        <f>IF('1-UseCase ทั้งหมด'!B28="","",IFERROR(ROUND(AVERAGE(K28:L28),0),""))</f>
        <v/>
      </c>
      <c r="N28" s="34">
        <f>IF('1-UseCase ทั้งหมด'!B28="","",IFERROR(INDEX(DATA!$G$30:$G$32,MATCH('1-UseCase ทั้งหมด'!U28,DATA!$G$4:$G$6,0)),""))</f>
        <v/>
      </c>
      <c r="O28" s="34">
        <f>IF('1-UseCase ทั้งหมด'!B28="","",IFERROR(INDEX(DATA!$H$30:$H$32,MATCH('1-UseCase ทั้งหมด'!V28,DATA!$H$4:$H$6,0)),""))</f>
        <v/>
      </c>
      <c r="P28" s="34">
        <f>IF('1-UseCase ทั้งหมด'!B28="","",IFERROR(INDEX(DATA!$I$30:$I$33,MATCH('1-UseCase ทั้งหมด'!W28,DATA!$I$4:$I$7,0)),""))</f>
        <v/>
      </c>
      <c r="Q28" s="35">
        <f>IF('1-UseCase ทั้งหมด'!B28="","",IFERROR(ROUND(AVERAGE(N28:P28),0),""))</f>
        <v/>
      </c>
      <c r="R28" s="36">
        <f>IF('1-UseCase ทั้งหมด'!B28="","",IF(U28&gt;0,"",IFERROR(ROUND((F28*DATA!$AI$4+M28*DATA!$AI$5+J28*DATA!$AI$6+(6-Q28)*DATA!$AI$7)*20,1),"")))</f>
        <v/>
      </c>
      <c r="S28" s="35">
        <f>IF('1-UseCase ทั้งหมด'!B28="","",IF(U28&gt;0,"ข้อมูลไม่ครบ",IF(R28="","",IF(R28&gt;=DATA!$AI$10,"สูง",IF(R28&gt;=DATA!$AI$11,"กลาง","ต่ำ")))))</f>
        <v/>
      </c>
      <c r="T28" s="35">
        <f>IF('1-UseCase ทั้งหมด'!B28="","",IF(R28="","",RANK(R28,$R$7:$R$36,0)))</f>
        <v/>
      </c>
      <c r="U28" s="34">
        <f>IF('1-UseCase ทั้งหมด'!B28="","",COUNTBLANK('1-UseCase ทั้งหมด'!L28)+COUNTBLANK('1-UseCase ทั้งหมด'!M28)+COUNTBLANK('1-UseCase ทั้งหมด'!O28)+COUNTBLANK('1-UseCase ทั้งหมด'!P28)+COUNTBLANK('1-UseCase ทั้งหมด'!R28)+COUNTBLANK('1-UseCase ทั้งหมด'!S28)+COUNTBLANK('1-UseCase ทั้งหมด'!T28)+COUNTBLANK('1-UseCase ทั้งหมด'!U28)+COUNTBLANK('1-UseCase ทั้งหมด'!V28)+COUNTBLANK('1-UseCase ทั้งหมด'!W28))</f>
        <v/>
      </c>
    </row>
    <row r="29" ht="22" customHeight="1">
      <c r="A29" s="26">
        <f>IF('1-UseCase ทั้งหมด'!B29="","",'1-UseCase ทั้งหมด'!A29)</f>
        <v/>
      </c>
      <c r="B29" s="26">
        <f>IF('1-UseCase ทั้งหมด'!B29="","",'1-UseCase ทั้งหมด'!B29)</f>
        <v/>
      </c>
      <c r="C29" s="26">
        <f>IF('1-UseCase ทั้งหมด'!B29="","",'1-UseCase ทั้งหมด'!D29)</f>
        <v/>
      </c>
      <c r="D29" s="34">
        <f>IF('1-UseCase ทั้งหมด'!B29="","",IFERROR(INDEX(DATA!$R$30:$R$34,MATCH('1-UseCase ทั้งหมด'!L29,DATA!$R$4:$R$8,0)),""))</f>
        <v/>
      </c>
      <c r="E29" s="34">
        <f>IF('1-UseCase ทั้งหมด'!B29="","",IFERROR(INDEX(DATA!$S$30:$S$34,MATCH('1-UseCase ทั้งหมด'!M29,DATA!$S$4:$S$8,0)),""))</f>
        <v/>
      </c>
      <c r="F29" s="35">
        <f>IF('1-UseCase ทั้งหมด'!B29="","",IF(D29="",IF(AND(E29&lt;&gt;"",E29&lt;&gt;"-"),E29,""),IF(AND(E29&lt;&gt;"",E29&lt;&gt;"-"),ROUND((D29+E29)/2,0),D29)))</f>
        <v/>
      </c>
      <c r="G29" s="34">
        <f>IF('1-UseCase ทั้งหมด'!B29="","",IFERROR(INDEX(DATA!$B$30:$B$35,MATCH('1-UseCase ทั้งหมด'!O29,DATA!$B$4:$B$9,0)),""))</f>
        <v/>
      </c>
      <c r="H29" s="34">
        <f>IF('1-UseCase ทั้งหมด'!B29="","",IFERROR(INDEX(DATA!$C$30:$C$33,MATCH('1-UseCase ทั้งหมด'!P29,DATA!$C$4:$C$7,0)),""))</f>
        <v/>
      </c>
      <c r="I29" s="34">
        <f>IF('1-UseCase ทั้งหมด'!B29="","",IFERROR(INDEX(DATA!$D$30:$D$32,MATCH('1-UseCase ทั้งหมด'!R29,DATA!$D$4:$D$6,0)),""))</f>
        <v/>
      </c>
      <c r="J29" s="35">
        <f>IF('1-UseCase ทั้งหมด'!B29="","",IFERROR(ROUND(AVERAGE(G29:I29),0),""))</f>
        <v/>
      </c>
      <c r="K29" s="34">
        <f>IF('1-UseCase ทั้งหมด'!B29="","",IFERROR(INDEX(DATA!$E$30:$E$33,MATCH('1-UseCase ทั้งหมด'!S29,DATA!$E$4:$E$7,0)),""))</f>
        <v/>
      </c>
      <c r="L29" s="34">
        <f>IF('1-UseCase ทั้งหมด'!B29="","",IFERROR(INDEX(DATA!$F$30:$F$32,MATCH('1-UseCase ทั้งหมด'!T29,DATA!$F$4:$F$6,0)),""))</f>
        <v/>
      </c>
      <c r="M29" s="35">
        <f>IF('1-UseCase ทั้งหมด'!B29="","",IFERROR(ROUND(AVERAGE(K29:L29),0),""))</f>
        <v/>
      </c>
      <c r="N29" s="34">
        <f>IF('1-UseCase ทั้งหมด'!B29="","",IFERROR(INDEX(DATA!$G$30:$G$32,MATCH('1-UseCase ทั้งหมด'!U29,DATA!$G$4:$G$6,0)),""))</f>
        <v/>
      </c>
      <c r="O29" s="34">
        <f>IF('1-UseCase ทั้งหมด'!B29="","",IFERROR(INDEX(DATA!$H$30:$H$32,MATCH('1-UseCase ทั้งหมด'!V29,DATA!$H$4:$H$6,0)),""))</f>
        <v/>
      </c>
      <c r="P29" s="34">
        <f>IF('1-UseCase ทั้งหมด'!B29="","",IFERROR(INDEX(DATA!$I$30:$I$33,MATCH('1-UseCase ทั้งหมด'!W29,DATA!$I$4:$I$7,0)),""))</f>
        <v/>
      </c>
      <c r="Q29" s="35">
        <f>IF('1-UseCase ทั้งหมด'!B29="","",IFERROR(ROUND(AVERAGE(N29:P29),0),""))</f>
        <v/>
      </c>
      <c r="R29" s="36">
        <f>IF('1-UseCase ทั้งหมด'!B29="","",IF(U29&gt;0,"",IFERROR(ROUND((F29*DATA!$AI$4+M29*DATA!$AI$5+J29*DATA!$AI$6+(6-Q29)*DATA!$AI$7)*20,1),"")))</f>
        <v/>
      </c>
      <c r="S29" s="35">
        <f>IF('1-UseCase ทั้งหมด'!B29="","",IF(U29&gt;0,"ข้อมูลไม่ครบ",IF(R29="","",IF(R29&gt;=DATA!$AI$10,"สูง",IF(R29&gt;=DATA!$AI$11,"กลาง","ต่ำ")))))</f>
        <v/>
      </c>
      <c r="T29" s="35">
        <f>IF('1-UseCase ทั้งหมด'!B29="","",IF(R29="","",RANK(R29,$R$7:$R$36,0)))</f>
        <v/>
      </c>
      <c r="U29" s="34">
        <f>IF('1-UseCase ทั้งหมด'!B29="","",COUNTBLANK('1-UseCase ทั้งหมด'!L29)+COUNTBLANK('1-UseCase ทั้งหมด'!M29)+COUNTBLANK('1-UseCase ทั้งหมด'!O29)+COUNTBLANK('1-UseCase ทั้งหมด'!P29)+COUNTBLANK('1-UseCase ทั้งหมด'!R29)+COUNTBLANK('1-UseCase ทั้งหมด'!S29)+COUNTBLANK('1-UseCase ทั้งหมด'!T29)+COUNTBLANK('1-UseCase ทั้งหมด'!U29)+COUNTBLANK('1-UseCase ทั้งหมด'!V29)+COUNTBLANK('1-UseCase ทั้งหมด'!W29))</f>
        <v/>
      </c>
    </row>
    <row r="30" ht="22" customHeight="1">
      <c r="A30" s="26">
        <f>IF('1-UseCase ทั้งหมด'!B30="","",'1-UseCase ทั้งหมด'!A30)</f>
        <v/>
      </c>
      <c r="B30" s="26">
        <f>IF('1-UseCase ทั้งหมด'!B30="","",'1-UseCase ทั้งหมด'!B30)</f>
        <v/>
      </c>
      <c r="C30" s="26">
        <f>IF('1-UseCase ทั้งหมด'!B30="","",'1-UseCase ทั้งหมด'!D30)</f>
        <v/>
      </c>
      <c r="D30" s="34">
        <f>IF('1-UseCase ทั้งหมด'!B30="","",IFERROR(INDEX(DATA!$R$30:$R$34,MATCH('1-UseCase ทั้งหมด'!L30,DATA!$R$4:$R$8,0)),""))</f>
        <v/>
      </c>
      <c r="E30" s="34">
        <f>IF('1-UseCase ทั้งหมด'!B30="","",IFERROR(INDEX(DATA!$S$30:$S$34,MATCH('1-UseCase ทั้งหมด'!M30,DATA!$S$4:$S$8,0)),""))</f>
        <v/>
      </c>
      <c r="F30" s="35">
        <f>IF('1-UseCase ทั้งหมด'!B30="","",IF(D30="",IF(AND(E30&lt;&gt;"",E30&lt;&gt;"-"),E30,""),IF(AND(E30&lt;&gt;"",E30&lt;&gt;"-"),ROUND((D30+E30)/2,0),D30)))</f>
        <v/>
      </c>
      <c r="G30" s="34">
        <f>IF('1-UseCase ทั้งหมด'!B30="","",IFERROR(INDEX(DATA!$B$30:$B$35,MATCH('1-UseCase ทั้งหมด'!O30,DATA!$B$4:$B$9,0)),""))</f>
        <v/>
      </c>
      <c r="H30" s="34">
        <f>IF('1-UseCase ทั้งหมด'!B30="","",IFERROR(INDEX(DATA!$C$30:$C$33,MATCH('1-UseCase ทั้งหมด'!P30,DATA!$C$4:$C$7,0)),""))</f>
        <v/>
      </c>
      <c r="I30" s="34">
        <f>IF('1-UseCase ทั้งหมด'!B30="","",IFERROR(INDEX(DATA!$D$30:$D$32,MATCH('1-UseCase ทั้งหมด'!R30,DATA!$D$4:$D$6,0)),""))</f>
        <v/>
      </c>
      <c r="J30" s="35">
        <f>IF('1-UseCase ทั้งหมด'!B30="","",IFERROR(ROUND(AVERAGE(G30:I30),0),""))</f>
        <v/>
      </c>
      <c r="K30" s="34">
        <f>IF('1-UseCase ทั้งหมด'!B30="","",IFERROR(INDEX(DATA!$E$30:$E$33,MATCH('1-UseCase ทั้งหมด'!S30,DATA!$E$4:$E$7,0)),""))</f>
        <v/>
      </c>
      <c r="L30" s="34">
        <f>IF('1-UseCase ทั้งหมด'!B30="","",IFERROR(INDEX(DATA!$F$30:$F$32,MATCH('1-UseCase ทั้งหมด'!T30,DATA!$F$4:$F$6,0)),""))</f>
        <v/>
      </c>
      <c r="M30" s="35">
        <f>IF('1-UseCase ทั้งหมด'!B30="","",IFERROR(ROUND(AVERAGE(K30:L30),0),""))</f>
        <v/>
      </c>
      <c r="N30" s="34">
        <f>IF('1-UseCase ทั้งหมด'!B30="","",IFERROR(INDEX(DATA!$G$30:$G$32,MATCH('1-UseCase ทั้งหมด'!U30,DATA!$G$4:$G$6,0)),""))</f>
        <v/>
      </c>
      <c r="O30" s="34">
        <f>IF('1-UseCase ทั้งหมด'!B30="","",IFERROR(INDEX(DATA!$H$30:$H$32,MATCH('1-UseCase ทั้งหมด'!V30,DATA!$H$4:$H$6,0)),""))</f>
        <v/>
      </c>
      <c r="P30" s="34">
        <f>IF('1-UseCase ทั้งหมด'!B30="","",IFERROR(INDEX(DATA!$I$30:$I$33,MATCH('1-UseCase ทั้งหมด'!W30,DATA!$I$4:$I$7,0)),""))</f>
        <v/>
      </c>
      <c r="Q30" s="35">
        <f>IF('1-UseCase ทั้งหมด'!B30="","",IFERROR(ROUND(AVERAGE(N30:P30),0),""))</f>
        <v/>
      </c>
      <c r="R30" s="36">
        <f>IF('1-UseCase ทั้งหมด'!B30="","",IF(U30&gt;0,"",IFERROR(ROUND((F30*DATA!$AI$4+M30*DATA!$AI$5+J30*DATA!$AI$6+(6-Q30)*DATA!$AI$7)*20,1),"")))</f>
        <v/>
      </c>
      <c r="S30" s="35">
        <f>IF('1-UseCase ทั้งหมด'!B30="","",IF(U30&gt;0,"ข้อมูลไม่ครบ",IF(R30="","",IF(R30&gt;=DATA!$AI$10,"สูง",IF(R30&gt;=DATA!$AI$11,"กลาง","ต่ำ")))))</f>
        <v/>
      </c>
      <c r="T30" s="35">
        <f>IF('1-UseCase ทั้งหมด'!B30="","",IF(R30="","",RANK(R30,$R$7:$R$36,0)))</f>
        <v/>
      </c>
      <c r="U30" s="34">
        <f>IF('1-UseCase ทั้งหมด'!B30="","",COUNTBLANK('1-UseCase ทั้งหมด'!L30)+COUNTBLANK('1-UseCase ทั้งหมด'!M30)+COUNTBLANK('1-UseCase ทั้งหมด'!O30)+COUNTBLANK('1-UseCase ทั้งหมด'!P30)+COUNTBLANK('1-UseCase ทั้งหมด'!R30)+COUNTBLANK('1-UseCase ทั้งหมด'!S30)+COUNTBLANK('1-UseCase ทั้งหมด'!T30)+COUNTBLANK('1-UseCase ทั้งหมด'!U30)+COUNTBLANK('1-UseCase ทั้งหมด'!V30)+COUNTBLANK('1-UseCase ทั้งหมด'!W30))</f>
        <v/>
      </c>
    </row>
    <row r="31" ht="22" customHeight="1">
      <c r="A31" s="26">
        <f>IF('1-UseCase ทั้งหมด'!B31="","",'1-UseCase ทั้งหมด'!A31)</f>
        <v/>
      </c>
      <c r="B31" s="26">
        <f>IF('1-UseCase ทั้งหมด'!B31="","",'1-UseCase ทั้งหมด'!B31)</f>
        <v/>
      </c>
      <c r="C31" s="26">
        <f>IF('1-UseCase ทั้งหมด'!B31="","",'1-UseCase ทั้งหมด'!D31)</f>
        <v/>
      </c>
      <c r="D31" s="34">
        <f>IF('1-UseCase ทั้งหมด'!B31="","",IFERROR(INDEX(DATA!$R$30:$R$34,MATCH('1-UseCase ทั้งหมด'!L31,DATA!$R$4:$R$8,0)),""))</f>
        <v/>
      </c>
      <c r="E31" s="34">
        <f>IF('1-UseCase ทั้งหมด'!B31="","",IFERROR(INDEX(DATA!$S$30:$S$34,MATCH('1-UseCase ทั้งหมด'!M31,DATA!$S$4:$S$8,0)),""))</f>
        <v/>
      </c>
      <c r="F31" s="35">
        <f>IF('1-UseCase ทั้งหมด'!B31="","",IF(D31="",IF(AND(E31&lt;&gt;"",E31&lt;&gt;"-"),E31,""),IF(AND(E31&lt;&gt;"",E31&lt;&gt;"-"),ROUND((D31+E31)/2,0),D31)))</f>
        <v/>
      </c>
      <c r="G31" s="34">
        <f>IF('1-UseCase ทั้งหมด'!B31="","",IFERROR(INDEX(DATA!$B$30:$B$35,MATCH('1-UseCase ทั้งหมด'!O31,DATA!$B$4:$B$9,0)),""))</f>
        <v/>
      </c>
      <c r="H31" s="34">
        <f>IF('1-UseCase ทั้งหมด'!B31="","",IFERROR(INDEX(DATA!$C$30:$C$33,MATCH('1-UseCase ทั้งหมด'!P31,DATA!$C$4:$C$7,0)),""))</f>
        <v/>
      </c>
      <c r="I31" s="34">
        <f>IF('1-UseCase ทั้งหมด'!B31="","",IFERROR(INDEX(DATA!$D$30:$D$32,MATCH('1-UseCase ทั้งหมด'!R31,DATA!$D$4:$D$6,0)),""))</f>
        <v/>
      </c>
      <c r="J31" s="35">
        <f>IF('1-UseCase ทั้งหมด'!B31="","",IFERROR(ROUND(AVERAGE(G31:I31),0),""))</f>
        <v/>
      </c>
      <c r="K31" s="34">
        <f>IF('1-UseCase ทั้งหมด'!B31="","",IFERROR(INDEX(DATA!$E$30:$E$33,MATCH('1-UseCase ทั้งหมด'!S31,DATA!$E$4:$E$7,0)),""))</f>
        <v/>
      </c>
      <c r="L31" s="34">
        <f>IF('1-UseCase ทั้งหมด'!B31="","",IFERROR(INDEX(DATA!$F$30:$F$32,MATCH('1-UseCase ทั้งหมด'!T31,DATA!$F$4:$F$6,0)),""))</f>
        <v/>
      </c>
      <c r="M31" s="35">
        <f>IF('1-UseCase ทั้งหมด'!B31="","",IFERROR(ROUND(AVERAGE(K31:L31),0),""))</f>
        <v/>
      </c>
      <c r="N31" s="34">
        <f>IF('1-UseCase ทั้งหมด'!B31="","",IFERROR(INDEX(DATA!$G$30:$G$32,MATCH('1-UseCase ทั้งหมด'!U31,DATA!$G$4:$G$6,0)),""))</f>
        <v/>
      </c>
      <c r="O31" s="34">
        <f>IF('1-UseCase ทั้งหมด'!B31="","",IFERROR(INDEX(DATA!$H$30:$H$32,MATCH('1-UseCase ทั้งหมด'!V31,DATA!$H$4:$H$6,0)),""))</f>
        <v/>
      </c>
      <c r="P31" s="34">
        <f>IF('1-UseCase ทั้งหมด'!B31="","",IFERROR(INDEX(DATA!$I$30:$I$33,MATCH('1-UseCase ทั้งหมด'!W31,DATA!$I$4:$I$7,0)),""))</f>
        <v/>
      </c>
      <c r="Q31" s="35">
        <f>IF('1-UseCase ทั้งหมด'!B31="","",IFERROR(ROUND(AVERAGE(N31:P31),0),""))</f>
        <v/>
      </c>
      <c r="R31" s="36">
        <f>IF('1-UseCase ทั้งหมด'!B31="","",IF(U31&gt;0,"",IFERROR(ROUND((F31*DATA!$AI$4+M31*DATA!$AI$5+J31*DATA!$AI$6+(6-Q31)*DATA!$AI$7)*20,1),"")))</f>
        <v/>
      </c>
      <c r="S31" s="35">
        <f>IF('1-UseCase ทั้งหมด'!B31="","",IF(U31&gt;0,"ข้อมูลไม่ครบ",IF(R31="","",IF(R31&gt;=DATA!$AI$10,"สูง",IF(R31&gt;=DATA!$AI$11,"กลาง","ต่ำ")))))</f>
        <v/>
      </c>
      <c r="T31" s="35">
        <f>IF('1-UseCase ทั้งหมด'!B31="","",IF(R31="","",RANK(R31,$R$7:$R$36,0)))</f>
        <v/>
      </c>
      <c r="U31" s="34">
        <f>IF('1-UseCase ทั้งหมด'!B31="","",COUNTBLANK('1-UseCase ทั้งหมด'!L31)+COUNTBLANK('1-UseCase ทั้งหมด'!M31)+COUNTBLANK('1-UseCase ทั้งหมด'!O31)+COUNTBLANK('1-UseCase ทั้งหมด'!P31)+COUNTBLANK('1-UseCase ทั้งหมด'!R31)+COUNTBLANK('1-UseCase ทั้งหมด'!S31)+COUNTBLANK('1-UseCase ทั้งหมด'!T31)+COUNTBLANK('1-UseCase ทั้งหมด'!U31)+COUNTBLANK('1-UseCase ทั้งหมด'!V31)+COUNTBLANK('1-UseCase ทั้งหมด'!W31))</f>
        <v/>
      </c>
    </row>
    <row r="32" ht="22" customHeight="1">
      <c r="A32" s="26">
        <f>IF('1-UseCase ทั้งหมด'!B32="","",'1-UseCase ทั้งหมด'!A32)</f>
        <v/>
      </c>
      <c r="B32" s="26">
        <f>IF('1-UseCase ทั้งหมด'!B32="","",'1-UseCase ทั้งหมด'!B32)</f>
        <v/>
      </c>
      <c r="C32" s="26">
        <f>IF('1-UseCase ทั้งหมด'!B32="","",'1-UseCase ทั้งหมด'!D32)</f>
        <v/>
      </c>
      <c r="D32" s="34">
        <f>IF('1-UseCase ทั้งหมด'!B32="","",IFERROR(INDEX(DATA!$R$30:$R$34,MATCH('1-UseCase ทั้งหมด'!L32,DATA!$R$4:$R$8,0)),""))</f>
        <v/>
      </c>
      <c r="E32" s="34">
        <f>IF('1-UseCase ทั้งหมด'!B32="","",IFERROR(INDEX(DATA!$S$30:$S$34,MATCH('1-UseCase ทั้งหมด'!M32,DATA!$S$4:$S$8,0)),""))</f>
        <v/>
      </c>
      <c r="F32" s="35">
        <f>IF('1-UseCase ทั้งหมด'!B32="","",IF(D32="",IF(AND(E32&lt;&gt;"",E32&lt;&gt;"-"),E32,""),IF(AND(E32&lt;&gt;"",E32&lt;&gt;"-"),ROUND((D32+E32)/2,0),D32)))</f>
        <v/>
      </c>
      <c r="G32" s="34">
        <f>IF('1-UseCase ทั้งหมด'!B32="","",IFERROR(INDEX(DATA!$B$30:$B$35,MATCH('1-UseCase ทั้งหมด'!O32,DATA!$B$4:$B$9,0)),""))</f>
        <v/>
      </c>
      <c r="H32" s="34">
        <f>IF('1-UseCase ทั้งหมด'!B32="","",IFERROR(INDEX(DATA!$C$30:$C$33,MATCH('1-UseCase ทั้งหมด'!P32,DATA!$C$4:$C$7,0)),""))</f>
        <v/>
      </c>
      <c r="I32" s="34">
        <f>IF('1-UseCase ทั้งหมด'!B32="","",IFERROR(INDEX(DATA!$D$30:$D$32,MATCH('1-UseCase ทั้งหมด'!R32,DATA!$D$4:$D$6,0)),""))</f>
        <v/>
      </c>
      <c r="J32" s="35">
        <f>IF('1-UseCase ทั้งหมด'!B32="","",IFERROR(ROUND(AVERAGE(G32:I32),0),""))</f>
        <v/>
      </c>
      <c r="K32" s="34">
        <f>IF('1-UseCase ทั้งหมด'!B32="","",IFERROR(INDEX(DATA!$E$30:$E$33,MATCH('1-UseCase ทั้งหมด'!S32,DATA!$E$4:$E$7,0)),""))</f>
        <v/>
      </c>
      <c r="L32" s="34">
        <f>IF('1-UseCase ทั้งหมด'!B32="","",IFERROR(INDEX(DATA!$F$30:$F$32,MATCH('1-UseCase ทั้งหมด'!T32,DATA!$F$4:$F$6,0)),""))</f>
        <v/>
      </c>
      <c r="M32" s="35">
        <f>IF('1-UseCase ทั้งหมด'!B32="","",IFERROR(ROUND(AVERAGE(K32:L32),0),""))</f>
        <v/>
      </c>
      <c r="N32" s="34">
        <f>IF('1-UseCase ทั้งหมด'!B32="","",IFERROR(INDEX(DATA!$G$30:$G$32,MATCH('1-UseCase ทั้งหมด'!U32,DATA!$G$4:$G$6,0)),""))</f>
        <v/>
      </c>
      <c r="O32" s="34">
        <f>IF('1-UseCase ทั้งหมด'!B32="","",IFERROR(INDEX(DATA!$H$30:$H$32,MATCH('1-UseCase ทั้งหมด'!V32,DATA!$H$4:$H$6,0)),""))</f>
        <v/>
      </c>
      <c r="P32" s="34">
        <f>IF('1-UseCase ทั้งหมด'!B32="","",IFERROR(INDEX(DATA!$I$30:$I$33,MATCH('1-UseCase ทั้งหมด'!W32,DATA!$I$4:$I$7,0)),""))</f>
        <v/>
      </c>
      <c r="Q32" s="35">
        <f>IF('1-UseCase ทั้งหมด'!B32="","",IFERROR(ROUND(AVERAGE(N32:P32),0),""))</f>
        <v/>
      </c>
      <c r="R32" s="36">
        <f>IF('1-UseCase ทั้งหมด'!B32="","",IF(U32&gt;0,"",IFERROR(ROUND((F32*DATA!$AI$4+M32*DATA!$AI$5+J32*DATA!$AI$6+(6-Q32)*DATA!$AI$7)*20,1),"")))</f>
        <v/>
      </c>
      <c r="S32" s="35">
        <f>IF('1-UseCase ทั้งหมด'!B32="","",IF(U32&gt;0,"ข้อมูลไม่ครบ",IF(R32="","",IF(R32&gt;=DATA!$AI$10,"สูง",IF(R32&gt;=DATA!$AI$11,"กลาง","ต่ำ")))))</f>
        <v/>
      </c>
      <c r="T32" s="35">
        <f>IF('1-UseCase ทั้งหมด'!B32="","",IF(R32="","",RANK(R32,$R$7:$R$36,0)))</f>
        <v/>
      </c>
      <c r="U32" s="34">
        <f>IF('1-UseCase ทั้งหมด'!B32="","",COUNTBLANK('1-UseCase ทั้งหมด'!L32)+COUNTBLANK('1-UseCase ทั้งหมด'!M32)+COUNTBLANK('1-UseCase ทั้งหมด'!O32)+COUNTBLANK('1-UseCase ทั้งหมด'!P32)+COUNTBLANK('1-UseCase ทั้งหมด'!R32)+COUNTBLANK('1-UseCase ทั้งหมด'!S32)+COUNTBLANK('1-UseCase ทั้งหมด'!T32)+COUNTBLANK('1-UseCase ทั้งหมด'!U32)+COUNTBLANK('1-UseCase ทั้งหมด'!V32)+COUNTBLANK('1-UseCase ทั้งหมด'!W32))</f>
        <v/>
      </c>
    </row>
    <row r="33" ht="22" customHeight="1">
      <c r="A33" s="26">
        <f>IF('1-UseCase ทั้งหมด'!B33="","",'1-UseCase ทั้งหมด'!A33)</f>
        <v/>
      </c>
      <c r="B33" s="26">
        <f>IF('1-UseCase ทั้งหมด'!B33="","",'1-UseCase ทั้งหมด'!B33)</f>
        <v/>
      </c>
      <c r="C33" s="26">
        <f>IF('1-UseCase ทั้งหมด'!B33="","",'1-UseCase ทั้งหมด'!D33)</f>
        <v/>
      </c>
      <c r="D33" s="34">
        <f>IF('1-UseCase ทั้งหมด'!B33="","",IFERROR(INDEX(DATA!$R$30:$R$34,MATCH('1-UseCase ทั้งหมด'!L33,DATA!$R$4:$R$8,0)),""))</f>
        <v/>
      </c>
      <c r="E33" s="34">
        <f>IF('1-UseCase ทั้งหมด'!B33="","",IFERROR(INDEX(DATA!$S$30:$S$34,MATCH('1-UseCase ทั้งหมด'!M33,DATA!$S$4:$S$8,0)),""))</f>
        <v/>
      </c>
      <c r="F33" s="35">
        <f>IF('1-UseCase ทั้งหมด'!B33="","",IF(D33="",IF(AND(E33&lt;&gt;"",E33&lt;&gt;"-"),E33,""),IF(AND(E33&lt;&gt;"",E33&lt;&gt;"-"),ROUND((D33+E33)/2,0),D33)))</f>
        <v/>
      </c>
      <c r="G33" s="34">
        <f>IF('1-UseCase ทั้งหมด'!B33="","",IFERROR(INDEX(DATA!$B$30:$B$35,MATCH('1-UseCase ทั้งหมด'!O33,DATA!$B$4:$B$9,0)),""))</f>
        <v/>
      </c>
      <c r="H33" s="34">
        <f>IF('1-UseCase ทั้งหมด'!B33="","",IFERROR(INDEX(DATA!$C$30:$C$33,MATCH('1-UseCase ทั้งหมด'!P33,DATA!$C$4:$C$7,0)),""))</f>
        <v/>
      </c>
      <c r="I33" s="34">
        <f>IF('1-UseCase ทั้งหมด'!B33="","",IFERROR(INDEX(DATA!$D$30:$D$32,MATCH('1-UseCase ทั้งหมด'!R33,DATA!$D$4:$D$6,0)),""))</f>
        <v/>
      </c>
      <c r="J33" s="35">
        <f>IF('1-UseCase ทั้งหมด'!B33="","",IFERROR(ROUND(AVERAGE(G33:I33),0),""))</f>
        <v/>
      </c>
      <c r="K33" s="34">
        <f>IF('1-UseCase ทั้งหมด'!B33="","",IFERROR(INDEX(DATA!$E$30:$E$33,MATCH('1-UseCase ทั้งหมด'!S33,DATA!$E$4:$E$7,0)),""))</f>
        <v/>
      </c>
      <c r="L33" s="34">
        <f>IF('1-UseCase ทั้งหมด'!B33="","",IFERROR(INDEX(DATA!$F$30:$F$32,MATCH('1-UseCase ทั้งหมด'!T33,DATA!$F$4:$F$6,0)),""))</f>
        <v/>
      </c>
      <c r="M33" s="35">
        <f>IF('1-UseCase ทั้งหมด'!B33="","",IFERROR(ROUND(AVERAGE(K33:L33),0),""))</f>
        <v/>
      </c>
      <c r="N33" s="34">
        <f>IF('1-UseCase ทั้งหมด'!B33="","",IFERROR(INDEX(DATA!$G$30:$G$32,MATCH('1-UseCase ทั้งหมด'!U33,DATA!$G$4:$G$6,0)),""))</f>
        <v/>
      </c>
      <c r="O33" s="34">
        <f>IF('1-UseCase ทั้งหมด'!B33="","",IFERROR(INDEX(DATA!$H$30:$H$32,MATCH('1-UseCase ทั้งหมด'!V33,DATA!$H$4:$H$6,0)),""))</f>
        <v/>
      </c>
      <c r="P33" s="34">
        <f>IF('1-UseCase ทั้งหมด'!B33="","",IFERROR(INDEX(DATA!$I$30:$I$33,MATCH('1-UseCase ทั้งหมด'!W33,DATA!$I$4:$I$7,0)),""))</f>
        <v/>
      </c>
      <c r="Q33" s="35">
        <f>IF('1-UseCase ทั้งหมด'!B33="","",IFERROR(ROUND(AVERAGE(N33:P33),0),""))</f>
        <v/>
      </c>
      <c r="R33" s="36">
        <f>IF('1-UseCase ทั้งหมด'!B33="","",IF(U33&gt;0,"",IFERROR(ROUND((F33*DATA!$AI$4+M33*DATA!$AI$5+J33*DATA!$AI$6+(6-Q33)*DATA!$AI$7)*20,1),"")))</f>
        <v/>
      </c>
      <c r="S33" s="35">
        <f>IF('1-UseCase ทั้งหมด'!B33="","",IF(U33&gt;0,"ข้อมูลไม่ครบ",IF(R33="","",IF(R33&gt;=DATA!$AI$10,"สูง",IF(R33&gt;=DATA!$AI$11,"กลาง","ต่ำ")))))</f>
        <v/>
      </c>
      <c r="T33" s="35">
        <f>IF('1-UseCase ทั้งหมด'!B33="","",IF(R33="","",RANK(R33,$R$7:$R$36,0)))</f>
        <v/>
      </c>
      <c r="U33" s="34">
        <f>IF('1-UseCase ทั้งหมด'!B33="","",COUNTBLANK('1-UseCase ทั้งหมด'!L33)+COUNTBLANK('1-UseCase ทั้งหมด'!M33)+COUNTBLANK('1-UseCase ทั้งหมด'!O33)+COUNTBLANK('1-UseCase ทั้งหมด'!P33)+COUNTBLANK('1-UseCase ทั้งหมด'!R33)+COUNTBLANK('1-UseCase ทั้งหมด'!S33)+COUNTBLANK('1-UseCase ทั้งหมด'!T33)+COUNTBLANK('1-UseCase ทั้งหมด'!U33)+COUNTBLANK('1-UseCase ทั้งหมด'!V33)+COUNTBLANK('1-UseCase ทั้งหมด'!W33))</f>
        <v/>
      </c>
    </row>
    <row r="34" ht="22" customHeight="1">
      <c r="A34" s="26">
        <f>IF('1-UseCase ทั้งหมด'!B34="","",'1-UseCase ทั้งหมด'!A34)</f>
        <v/>
      </c>
      <c r="B34" s="26">
        <f>IF('1-UseCase ทั้งหมด'!B34="","",'1-UseCase ทั้งหมด'!B34)</f>
        <v/>
      </c>
      <c r="C34" s="26">
        <f>IF('1-UseCase ทั้งหมด'!B34="","",'1-UseCase ทั้งหมด'!D34)</f>
        <v/>
      </c>
      <c r="D34" s="34">
        <f>IF('1-UseCase ทั้งหมด'!B34="","",IFERROR(INDEX(DATA!$R$30:$R$34,MATCH('1-UseCase ทั้งหมด'!L34,DATA!$R$4:$R$8,0)),""))</f>
        <v/>
      </c>
      <c r="E34" s="34">
        <f>IF('1-UseCase ทั้งหมด'!B34="","",IFERROR(INDEX(DATA!$S$30:$S$34,MATCH('1-UseCase ทั้งหมด'!M34,DATA!$S$4:$S$8,0)),""))</f>
        <v/>
      </c>
      <c r="F34" s="35">
        <f>IF('1-UseCase ทั้งหมด'!B34="","",IF(D34="",IF(AND(E34&lt;&gt;"",E34&lt;&gt;"-"),E34,""),IF(AND(E34&lt;&gt;"",E34&lt;&gt;"-"),ROUND((D34+E34)/2,0),D34)))</f>
        <v/>
      </c>
      <c r="G34" s="34">
        <f>IF('1-UseCase ทั้งหมด'!B34="","",IFERROR(INDEX(DATA!$B$30:$B$35,MATCH('1-UseCase ทั้งหมด'!O34,DATA!$B$4:$B$9,0)),""))</f>
        <v/>
      </c>
      <c r="H34" s="34">
        <f>IF('1-UseCase ทั้งหมด'!B34="","",IFERROR(INDEX(DATA!$C$30:$C$33,MATCH('1-UseCase ทั้งหมด'!P34,DATA!$C$4:$C$7,0)),""))</f>
        <v/>
      </c>
      <c r="I34" s="34">
        <f>IF('1-UseCase ทั้งหมด'!B34="","",IFERROR(INDEX(DATA!$D$30:$D$32,MATCH('1-UseCase ทั้งหมด'!R34,DATA!$D$4:$D$6,0)),""))</f>
        <v/>
      </c>
      <c r="J34" s="35">
        <f>IF('1-UseCase ทั้งหมด'!B34="","",IFERROR(ROUND(AVERAGE(G34:I34),0),""))</f>
        <v/>
      </c>
      <c r="K34" s="34">
        <f>IF('1-UseCase ทั้งหมด'!B34="","",IFERROR(INDEX(DATA!$E$30:$E$33,MATCH('1-UseCase ทั้งหมด'!S34,DATA!$E$4:$E$7,0)),""))</f>
        <v/>
      </c>
      <c r="L34" s="34">
        <f>IF('1-UseCase ทั้งหมด'!B34="","",IFERROR(INDEX(DATA!$F$30:$F$32,MATCH('1-UseCase ทั้งหมด'!T34,DATA!$F$4:$F$6,0)),""))</f>
        <v/>
      </c>
      <c r="M34" s="35">
        <f>IF('1-UseCase ทั้งหมด'!B34="","",IFERROR(ROUND(AVERAGE(K34:L34),0),""))</f>
        <v/>
      </c>
      <c r="N34" s="34">
        <f>IF('1-UseCase ทั้งหมด'!B34="","",IFERROR(INDEX(DATA!$G$30:$G$32,MATCH('1-UseCase ทั้งหมด'!U34,DATA!$G$4:$G$6,0)),""))</f>
        <v/>
      </c>
      <c r="O34" s="34">
        <f>IF('1-UseCase ทั้งหมด'!B34="","",IFERROR(INDEX(DATA!$H$30:$H$32,MATCH('1-UseCase ทั้งหมด'!V34,DATA!$H$4:$H$6,0)),""))</f>
        <v/>
      </c>
      <c r="P34" s="34">
        <f>IF('1-UseCase ทั้งหมด'!B34="","",IFERROR(INDEX(DATA!$I$30:$I$33,MATCH('1-UseCase ทั้งหมด'!W34,DATA!$I$4:$I$7,0)),""))</f>
        <v/>
      </c>
      <c r="Q34" s="35">
        <f>IF('1-UseCase ทั้งหมด'!B34="","",IFERROR(ROUND(AVERAGE(N34:P34),0),""))</f>
        <v/>
      </c>
      <c r="R34" s="36">
        <f>IF('1-UseCase ทั้งหมด'!B34="","",IF(U34&gt;0,"",IFERROR(ROUND((F34*DATA!$AI$4+M34*DATA!$AI$5+J34*DATA!$AI$6+(6-Q34)*DATA!$AI$7)*20,1),"")))</f>
        <v/>
      </c>
      <c r="S34" s="35">
        <f>IF('1-UseCase ทั้งหมด'!B34="","",IF(U34&gt;0,"ข้อมูลไม่ครบ",IF(R34="","",IF(R34&gt;=DATA!$AI$10,"สูง",IF(R34&gt;=DATA!$AI$11,"กลาง","ต่ำ")))))</f>
        <v/>
      </c>
      <c r="T34" s="35">
        <f>IF('1-UseCase ทั้งหมด'!B34="","",IF(R34="","",RANK(R34,$R$7:$R$36,0)))</f>
        <v/>
      </c>
      <c r="U34" s="34">
        <f>IF('1-UseCase ทั้งหมด'!B34="","",COUNTBLANK('1-UseCase ทั้งหมด'!L34)+COUNTBLANK('1-UseCase ทั้งหมด'!M34)+COUNTBLANK('1-UseCase ทั้งหมด'!O34)+COUNTBLANK('1-UseCase ทั้งหมด'!P34)+COUNTBLANK('1-UseCase ทั้งหมด'!R34)+COUNTBLANK('1-UseCase ทั้งหมด'!S34)+COUNTBLANK('1-UseCase ทั้งหมด'!T34)+COUNTBLANK('1-UseCase ทั้งหมด'!U34)+COUNTBLANK('1-UseCase ทั้งหมด'!V34)+COUNTBLANK('1-UseCase ทั้งหมด'!W34))</f>
        <v/>
      </c>
    </row>
    <row r="35" ht="22" customHeight="1">
      <c r="A35" s="26">
        <f>IF('1-UseCase ทั้งหมด'!B35="","",'1-UseCase ทั้งหมด'!A35)</f>
        <v/>
      </c>
      <c r="B35" s="26">
        <f>IF('1-UseCase ทั้งหมด'!B35="","",'1-UseCase ทั้งหมด'!B35)</f>
        <v/>
      </c>
      <c r="C35" s="26">
        <f>IF('1-UseCase ทั้งหมด'!B35="","",'1-UseCase ทั้งหมด'!D35)</f>
        <v/>
      </c>
      <c r="D35" s="34">
        <f>IF('1-UseCase ทั้งหมด'!B35="","",IFERROR(INDEX(DATA!$R$30:$R$34,MATCH('1-UseCase ทั้งหมด'!L35,DATA!$R$4:$R$8,0)),""))</f>
        <v/>
      </c>
      <c r="E35" s="34">
        <f>IF('1-UseCase ทั้งหมด'!B35="","",IFERROR(INDEX(DATA!$S$30:$S$34,MATCH('1-UseCase ทั้งหมด'!M35,DATA!$S$4:$S$8,0)),""))</f>
        <v/>
      </c>
      <c r="F35" s="35">
        <f>IF('1-UseCase ทั้งหมด'!B35="","",IF(D35="",IF(AND(E35&lt;&gt;"",E35&lt;&gt;"-"),E35,""),IF(AND(E35&lt;&gt;"",E35&lt;&gt;"-"),ROUND((D35+E35)/2,0),D35)))</f>
        <v/>
      </c>
      <c r="G35" s="34">
        <f>IF('1-UseCase ทั้งหมด'!B35="","",IFERROR(INDEX(DATA!$B$30:$B$35,MATCH('1-UseCase ทั้งหมด'!O35,DATA!$B$4:$B$9,0)),""))</f>
        <v/>
      </c>
      <c r="H35" s="34">
        <f>IF('1-UseCase ทั้งหมด'!B35="","",IFERROR(INDEX(DATA!$C$30:$C$33,MATCH('1-UseCase ทั้งหมด'!P35,DATA!$C$4:$C$7,0)),""))</f>
        <v/>
      </c>
      <c r="I35" s="34">
        <f>IF('1-UseCase ทั้งหมด'!B35="","",IFERROR(INDEX(DATA!$D$30:$D$32,MATCH('1-UseCase ทั้งหมด'!R35,DATA!$D$4:$D$6,0)),""))</f>
        <v/>
      </c>
      <c r="J35" s="35">
        <f>IF('1-UseCase ทั้งหมด'!B35="","",IFERROR(ROUND(AVERAGE(G35:I35),0),""))</f>
        <v/>
      </c>
      <c r="K35" s="34">
        <f>IF('1-UseCase ทั้งหมด'!B35="","",IFERROR(INDEX(DATA!$E$30:$E$33,MATCH('1-UseCase ทั้งหมด'!S35,DATA!$E$4:$E$7,0)),""))</f>
        <v/>
      </c>
      <c r="L35" s="34">
        <f>IF('1-UseCase ทั้งหมด'!B35="","",IFERROR(INDEX(DATA!$F$30:$F$32,MATCH('1-UseCase ทั้งหมด'!T35,DATA!$F$4:$F$6,0)),""))</f>
        <v/>
      </c>
      <c r="M35" s="35">
        <f>IF('1-UseCase ทั้งหมด'!B35="","",IFERROR(ROUND(AVERAGE(K35:L35),0),""))</f>
        <v/>
      </c>
      <c r="N35" s="34">
        <f>IF('1-UseCase ทั้งหมด'!B35="","",IFERROR(INDEX(DATA!$G$30:$G$32,MATCH('1-UseCase ทั้งหมด'!U35,DATA!$G$4:$G$6,0)),""))</f>
        <v/>
      </c>
      <c r="O35" s="34">
        <f>IF('1-UseCase ทั้งหมด'!B35="","",IFERROR(INDEX(DATA!$H$30:$H$32,MATCH('1-UseCase ทั้งหมด'!V35,DATA!$H$4:$H$6,0)),""))</f>
        <v/>
      </c>
      <c r="P35" s="34">
        <f>IF('1-UseCase ทั้งหมด'!B35="","",IFERROR(INDEX(DATA!$I$30:$I$33,MATCH('1-UseCase ทั้งหมด'!W35,DATA!$I$4:$I$7,0)),""))</f>
        <v/>
      </c>
      <c r="Q35" s="35">
        <f>IF('1-UseCase ทั้งหมด'!B35="","",IFERROR(ROUND(AVERAGE(N35:P35),0),""))</f>
        <v/>
      </c>
      <c r="R35" s="36">
        <f>IF('1-UseCase ทั้งหมด'!B35="","",IF(U35&gt;0,"",IFERROR(ROUND((F35*DATA!$AI$4+M35*DATA!$AI$5+J35*DATA!$AI$6+(6-Q35)*DATA!$AI$7)*20,1),"")))</f>
        <v/>
      </c>
      <c r="S35" s="35">
        <f>IF('1-UseCase ทั้งหมด'!B35="","",IF(U35&gt;0,"ข้อมูลไม่ครบ",IF(R35="","",IF(R35&gt;=DATA!$AI$10,"สูง",IF(R35&gt;=DATA!$AI$11,"กลาง","ต่ำ")))))</f>
        <v/>
      </c>
      <c r="T35" s="35">
        <f>IF('1-UseCase ทั้งหมด'!B35="","",IF(R35="","",RANK(R35,$R$7:$R$36,0)))</f>
        <v/>
      </c>
      <c r="U35" s="34">
        <f>IF('1-UseCase ทั้งหมด'!B35="","",COUNTBLANK('1-UseCase ทั้งหมด'!L35)+COUNTBLANK('1-UseCase ทั้งหมด'!M35)+COUNTBLANK('1-UseCase ทั้งหมด'!O35)+COUNTBLANK('1-UseCase ทั้งหมด'!P35)+COUNTBLANK('1-UseCase ทั้งหมด'!R35)+COUNTBLANK('1-UseCase ทั้งหมด'!S35)+COUNTBLANK('1-UseCase ทั้งหมด'!T35)+COUNTBLANK('1-UseCase ทั้งหมด'!U35)+COUNTBLANK('1-UseCase ทั้งหมด'!V35)+COUNTBLANK('1-UseCase ทั้งหมด'!W35))</f>
        <v/>
      </c>
    </row>
    <row r="36" ht="22" customHeight="1">
      <c r="A36" s="26">
        <f>IF('1-UseCase ทั้งหมด'!B36="","",'1-UseCase ทั้งหมด'!A36)</f>
        <v/>
      </c>
      <c r="B36" s="26">
        <f>IF('1-UseCase ทั้งหมด'!B36="","",'1-UseCase ทั้งหมด'!B36)</f>
        <v/>
      </c>
      <c r="C36" s="26">
        <f>IF('1-UseCase ทั้งหมด'!B36="","",'1-UseCase ทั้งหมด'!D36)</f>
        <v/>
      </c>
      <c r="D36" s="34">
        <f>IF('1-UseCase ทั้งหมด'!B36="","",IFERROR(INDEX(DATA!$R$30:$R$34,MATCH('1-UseCase ทั้งหมด'!L36,DATA!$R$4:$R$8,0)),""))</f>
        <v/>
      </c>
      <c r="E36" s="34">
        <f>IF('1-UseCase ทั้งหมด'!B36="","",IFERROR(INDEX(DATA!$S$30:$S$34,MATCH('1-UseCase ทั้งหมด'!M36,DATA!$S$4:$S$8,0)),""))</f>
        <v/>
      </c>
      <c r="F36" s="35">
        <f>IF('1-UseCase ทั้งหมด'!B36="","",IF(D36="",IF(AND(E36&lt;&gt;"",E36&lt;&gt;"-"),E36,""),IF(AND(E36&lt;&gt;"",E36&lt;&gt;"-"),ROUND((D36+E36)/2,0),D36)))</f>
        <v/>
      </c>
      <c r="G36" s="34">
        <f>IF('1-UseCase ทั้งหมด'!B36="","",IFERROR(INDEX(DATA!$B$30:$B$35,MATCH('1-UseCase ทั้งหมด'!O36,DATA!$B$4:$B$9,0)),""))</f>
        <v/>
      </c>
      <c r="H36" s="34">
        <f>IF('1-UseCase ทั้งหมด'!B36="","",IFERROR(INDEX(DATA!$C$30:$C$33,MATCH('1-UseCase ทั้งหมด'!P36,DATA!$C$4:$C$7,0)),""))</f>
        <v/>
      </c>
      <c r="I36" s="34">
        <f>IF('1-UseCase ทั้งหมด'!B36="","",IFERROR(INDEX(DATA!$D$30:$D$32,MATCH('1-UseCase ทั้งหมด'!R36,DATA!$D$4:$D$6,0)),""))</f>
        <v/>
      </c>
      <c r="J36" s="35">
        <f>IF('1-UseCase ทั้งหมด'!B36="","",IFERROR(ROUND(AVERAGE(G36:I36),0),""))</f>
        <v/>
      </c>
      <c r="K36" s="34">
        <f>IF('1-UseCase ทั้งหมด'!B36="","",IFERROR(INDEX(DATA!$E$30:$E$33,MATCH('1-UseCase ทั้งหมด'!S36,DATA!$E$4:$E$7,0)),""))</f>
        <v/>
      </c>
      <c r="L36" s="34">
        <f>IF('1-UseCase ทั้งหมด'!B36="","",IFERROR(INDEX(DATA!$F$30:$F$32,MATCH('1-UseCase ทั้งหมด'!T36,DATA!$F$4:$F$6,0)),""))</f>
        <v/>
      </c>
      <c r="M36" s="35">
        <f>IF('1-UseCase ทั้งหมด'!B36="","",IFERROR(ROUND(AVERAGE(K36:L36),0),""))</f>
        <v/>
      </c>
      <c r="N36" s="34">
        <f>IF('1-UseCase ทั้งหมด'!B36="","",IFERROR(INDEX(DATA!$G$30:$G$32,MATCH('1-UseCase ทั้งหมด'!U36,DATA!$G$4:$G$6,0)),""))</f>
        <v/>
      </c>
      <c r="O36" s="34">
        <f>IF('1-UseCase ทั้งหมด'!B36="","",IFERROR(INDEX(DATA!$H$30:$H$32,MATCH('1-UseCase ทั้งหมด'!V36,DATA!$H$4:$H$6,0)),""))</f>
        <v/>
      </c>
      <c r="P36" s="34">
        <f>IF('1-UseCase ทั้งหมด'!B36="","",IFERROR(INDEX(DATA!$I$30:$I$33,MATCH('1-UseCase ทั้งหมด'!W36,DATA!$I$4:$I$7,0)),""))</f>
        <v/>
      </c>
      <c r="Q36" s="35">
        <f>IF('1-UseCase ทั้งหมด'!B36="","",IFERROR(ROUND(AVERAGE(N36:P36),0),""))</f>
        <v/>
      </c>
      <c r="R36" s="36">
        <f>IF('1-UseCase ทั้งหมด'!B36="","",IF(U36&gt;0,"",IFERROR(ROUND((F36*DATA!$AI$4+M36*DATA!$AI$5+J36*DATA!$AI$6+(6-Q36)*DATA!$AI$7)*20,1),"")))</f>
        <v/>
      </c>
      <c r="S36" s="35">
        <f>IF('1-UseCase ทั้งหมด'!B36="","",IF(U36&gt;0,"ข้อมูลไม่ครบ",IF(R36="","",IF(R36&gt;=DATA!$AI$10,"สูง",IF(R36&gt;=DATA!$AI$11,"กลาง","ต่ำ")))))</f>
        <v/>
      </c>
      <c r="T36" s="35">
        <f>IF('1-UseCase ทั้งหมด'!B36="","",IF(R36="","",RANK(R36,$R$7:$R$36,0)))</f>
        <v/>
      </c>
      <c r="U36" s="34">
        <f>IF('1-UseCase ทั้งหมด'!B36="","",COUNTBLANK('1-UseCase ทั้งหมด'!L36)+COUNTBLANK('1-UseCase ทั้งหมด'!M36)+COUNTBLANK('1-UseCase ทั้งหมด'!O36)+COUNTBLANK('1-UseCase ทั้งหมด'!P36)+COUNTBLANK('1-UseCase ทั้งหมด'!R36)+COUNTBLANK('1-UseCase ทั้งหมด'!S36)+COUNTBLANK('1-UseCase ทั้งหมด'!T36)+COUNTBLANK('1-UseCase ทั้งหมด'!U36)+COUNTBLANK('1-UseCase ทั้งหมด'!V36)+COUNTBLANK('1-UseCase ทั้งหมด'!W36))</f>
        <v/>
      </c>
    </row>
    <row r="38">
      <c r="A38" s="37" t="inlineStr">
        <is>
          <t>เกณฑ์การแบ่งระดับ และสูตรที่ใช้</t>
        </is>
      </c>
    </row>
    <row r="39">
      <c r="A39" s="38" t="inlineStr">
        <is>
          <t>•  สูตร :  คะแนนรวม = ( Impact x 35%  +  Feasibility x 25%  +  Data x 25%  +  (6 - Risk) x 15% )  x 20</t>
        </is>
      </c>
    </row>
    <row r="40">
      <c r="A40" s="38" t="inlineStr">
        <is>
          <t>•  Risk ถูกกลับด้านด้วย (6 - Risk) เพราะความเสี่ยงสูง = คะแนนควรต่ำ</t>
        </is>
      </c>
    </row>
    <row r="41">
      <c r="A41" s="38" t="inlineStr">
        <is>
          <t>•  ระดับ สูง = 75 คะแนนขึ้นไป  |  กลาง = 50 - 74  |  ต่ำ = ต่ำกว่า 50  (คะแนนต่ำสุดที่เป็นไปได้คือ 20 ไม่ใช่ 0)</t>
        </is>
      </c>
    </row>
    <row r="42">
      <c r="A42" s="38" t="inlineStr">
        <is>
          <t>•  ถ้าช่องบังคับในชั้นที่ 1 ยังกรอกไม่ครบ ระบบจะไม่แสดงคะแนนรวม แต่ขึ้นว่า 'ข้อมูลไม่ครบ' และบอกจำนวนช่องที่ยังขาดในคอลัมน์สุดท้าย — กลับไปกรอกให้ครบแล้วคะแนนจะขึ้นเอง</t>
        </is>
      </c>
    </row>
    <row r="43">
      <c r="A43" s="38" t="inlineStr">
        <is>
          <t>•  ช่องบังคับ 10 ช่อง (คอลัมน์ L M O P R S T U V W) = เวลาที่ใช้ / มูลค่าความเสียหาย / รูปแบบข้อมูล / ข้อมูลย้อนหลัง / สิทธิ์ใช้ข้อมูล / ระบบเดิม / คนดูแลต่อ / ผลกระทบถ้า AI ผิด / การตรวจซ้ำ / ระดับความลับ</t>
        </is>
      </c>
    </row>
    <row r="44">
      <c r="A44" s="38" t="inlineStr">
        <is>
          <t>•  ถ้าตีมูลค่าความเสียหายเป็นเงินไม่ได้ ให้เลือก 'ประเมินเป็นเงินไม่ได้' — ระบบจะใช้เฉพาะชั่วโมงคิด Impact ไม่ได้หักคะแนน (ในตารางจะขึ้นเป็น '-')</t>
        </is>
      </c>
    </row>
    <row r="45">
      <c r="A45" s="38" t="inlineStr">
        <is>
          <t>•  คะแนนนี้เป็นตัวช่วยกรองเบื้องต้น ไม่ใช่คำตอบสุดท้าย — ผู้บริหารควรพิจารณา Use Case อันดับต้นๆ ด้วยตนเองอีกครั้ง</t>
        </is>
      </c>
    </row>
    <row r="46">
      <c r="A46" s="38" t="inlineStr">
        <is>
          <t>•  ค่าเกณฑ์ชั่วโมง/มูลค่า และน้ำหนักทุกตัว แก้ได้ที่ sheet DATA คอลัมน์ AH-AI (ตัวเลขสีน้ำเงิน)</t>
        </is>
      </c>
    </row>
  </sheetData>
  <mergeCells count="17">
    <mergeCell ref="A39:U39"/>
    <mergeCell ref="A4:C4"/>
    <mergeCell ref="A38:U38"/>
    <mergeCell ref="A2:U2"/>
    <mergeCell ref="R4:U4"/>
    <mergeCell ref="K4:M4"/>
    <mergeCell ref="G4:J4"/>
    <mergeCell ref="D4:F4"/>
    <mergeCell ref="A41:U41"/>
    <mergeCell ref="A43:U43"/>
    <mergeCell ref="N4:Q4"/>
    <mergeCell ref="A42:U42"/>
    <mergeCell ref="A45:U45"/>
    <mergeCell ref="A46:U46"/>
    <mergeCell ref="A44:U44"/>
    <mergeCell ref="A1:U1"/>
    <mergeCell ref="A40:U40"/>
  </mergeCells>
  <conditionalFormatting sqref="R6:R36">
    <cfRule type="cellIs" priority="1" operator="greaterThanOrEqual" dxfId="1">
      <formula>75</formula>
    </cfRule>
    <cfRule type="cellIs" priority="2" operator="between" dxfId="2">
      <formula>50</formula>
      <formula>74.99</formula>
    </cfRule>
    <cfRule type="cellIs" priority="3" operator="lessThan" dxfId="3">
      <formula>50</formula>
    </cfRule>
  </conditionalFormatting>
  <conditionalFormatting sqref="S6:S36">
    <cfRule type="cellIs" priority="4" operator="equal" dxfId="0">
      <formula>"ข้อมูลไม่ครบ"</formula>
    </cfRule>
  </conditionalFormatting>
  <conditionalFormatting sqref="U6:U36">
    <cfRule type="cellIs" priority="5" operator="greaterThan" dxfId="0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3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  <col width="32" customWidth="1" min="10" max="10"/>
    <col width="32" customWidth="1" min="11" max="11"/>
    <col width="32" customWidth="1" min="12" max="12"/>
    <col width="32" customWidth="1" min="13" max="13"/>
    <col width="32" customWidth="1" min="14" max="14"/>
    <col width="32" customWidth="1" min="15" max="15"/>
    <col width="32" customWidth="1" min="17" max="17"/>
    <col width="44" customWidth="1" min="18" max="18"/>
    <col width="32" customWidth="1" min="19" max="19"/>
    <col width="32" customWidth="1" min="20" max="20"/>
    <col width="32" customWidth="1" min="21" max="21"/>
    <col width="32" customWidth="1" min="22" max="22"/>
    <col width="32" customWidth="1" min="23" max="23"/>
    <col width="32" customWidth="1" min="24" max="24"/>
    <col width="32" customWidth="1" min="25" max="25"/>
    <col width="32" customWidth="1" min="26" max="26"/>
    <col width="32" customWidth="1" min="28" max="28"/>
    <col width="32" customWidth="1" min="29" max="29"/>
    <col width="32" customWidth="1" min="30" max="30"/>
    <col width="32" customWidth="1" min="31" max="31"/>
    <col width="34" customWidth="1" min="34" max="34"/>
    <col width="12" customWidth="1" min="35" max="35"/>
  </cols>
  <sheetData>
    <row r="1">
      <c r="A1" s="39" t="inlineStr">
        <is>
          <t>รายการตัวเลือก (Dropdown) — เพิ่ม/แก้ตัวเลือกได้ที่นี่ แล้วทุก sheet จะเปลี่ยนตาม</t>
        </is>
      </c>
      <c r="AH1" s="39" t="inlineStr">
        <is>
          <t>ค่าตั้งต้นของการคำนวณคะแนน (แก้ได้ ทุกสูตรจะเปลี่ยนตาม)</t>
        </is>
      </c>
    </row>
    <row r="3">
      <c r="A3" s="40" t="inlineStr">
        <is>
          <t>บริษัท</t>
        </is>
      </c>
      <c r="B3" s="40" t="inlineStr">
        <is>
          <t>รูปแบบการจัดเก็บข้อมูลปัจจุบัน</t>
        </is>
      </c>
      <c r="C3" s="40" t="inlineStr">
        <is>
          <t>ระยะเวลาข้อมูลย้อนหลังที่มี</t>
        </is>
      </c>
      <c r="D3" s="40" t="inlineStr">
        <is>
          <t>สิทธิ์ในการนำข้อมูลมาใช้</t>
        </is>
      </c>
      <c r="E3" s="40" t="inlineStr">
        <is>
          <t>การเชื่อมต่อกับระบบเดิม</t>
        </is>
      </c>
      <c r="F3" s="40" t="inlineStr">
        <is>
          <t>ผู้ดูแลระบบหลังส่งมอบ</t>
        </is>
      </c>
      <c r="G3" s="40" t="inlineStr">
        <is>
          <t>ผลกระทบเมื่อ AI ผิดพลาด</t>
        </is>
      </c>
      <c r="H3" s="40" t="inlineStr">
        <is>
          <t>การตรวจสอบผลลัพธ์โดยบุคลากร</t>
        </is>
      </c>
      <c r="I3" s="40" t="inlineStr">
        <is>
          <t>ระดับชั้นความลับของข้อมูล</t>
        </is>
      </c>
      <c r="J3" s="40" t="inlineStr">
        <is>
          <t>ระดับความสำคัญตามความเห็นผู้ใช้</t>
        </is>
      </c>
      <c r="K3" s="40" t="inlineStr">
        <is>
          <t>ประเภทข้อมูลนำเข้า</t>
        </is>
      </c>
      <c r="L3" s="40" t="inlineStr">
        <is>
          <t>ภาษาที่ต้องรองรับ</t>
        </is>
      </c>
      <c r="M3" s="40" t="inlineStr">
        <is>
          <t>เวลาตอบสนองที่ยอมรับได้</t>
        </is>
      </c>
      <c r="N3" s="40" t="inlineStr">
        <is>
          <t>ช่วงเวลาที่ต้องให้บริการ</t>
        </is>
      </c>
      <c r="O3" s="40" t="inlineStr">
        <is>
          <t>ความละเอียดของภาพ</t>
        </is>
      </c>
      <c r="Q3" s="40" t="inlineStr">
        <is>
          <t>การปรับโมเดลด้วยข้อมูลองค์กร</t>
        </is>
      </c>
      <c r="R3" s="40" t="inlineStr">
        <is>
          <t>เวลาที่ใช้กับงานนี้ในปัจจุบัน</t>
        </is>
      </c>
      <c r="S3" s="40" t="inlineStr">
        <is>
          <t>มูลค่าความสูญเสียต่อปี</t>
        </is>
      </c>
      <c r="T3" s="40" t="inlineStr">
        <is>
          <t>จำนวนผู้ใช้งานต่อวัน</t>
        </is>
      </c>
      <c r="U3" s="40" t="inlineStr">
        <is>
          <t>ผู้ใช้งานพร้อมกันสูงสุด</t>
        </is>
      </c>
      <c r="V3" s="40" t="inlineStr">
        <is>
          <t>ปริมาณรายการที่ประมวลผลต่อวัน</t>
        </is>
      </c>
      <c r="W3" s="40" t="inlineStr">
        <is>
          <t>ปริมาณข้อมูลนำเข้าต่อวัน</t>
        </is>
      </c>
      <c r="X3" s="40" t="inlineStr">
        <is>
          <t>ขนาดคลังเอกสารทั้งหมด</t>
        </is>
      </c>
      <c r="Y3" s="40" t="inlineStr">
        <is>
          <t>จุดตรวจที่ทำงานพร้อมกัน</t>
        </is>
      </c>
      <c r="Z3" s="40" t="inlineStr">
        <is>
          <t>รูปแบบการติดตั้ง</t>
        </is>
      </c>
      <c r="AB3" s="40" t="inlineStr">
        <is>
          <t>ระยะเวลาการจัดเก็บข้อมูล</t>
        </is>
      </c>
      <c r="AC3" s="40" t="inlineStr">
        <is>
          <t>ความถี่ในการฝึกโมเดลใหม่</t>
        </is>
      </c>
      <c r="AD3" s="40" t="inlineStr">
        <is>
          <t>ผลกระทบเมื่อระบบตอบสนองช้าลง</t>
        </is>
      </c>
      <c r="AE3" s="40" t="inlineStr">
        <is>
          <t>ลักษณะการเริ่มทำงานของระบบ</t>
        </is>
      </c>
      <c r="AH3" s="41" t="inlineStr">
        <is>
          <t>น้ำหนักแต่ละปัจจัย</t>
        </is>
      </c>
    </row>
    <row r="4">
      <c r="A4" s="42" t="inlineStr">
        <is>
          <t>บริษัท แกรนด์เอสเค คอร์ปอเรชั่น จำกัด</t>
        </is>
      </c>
      <c r="B4" s="42" t="inlineStr">
        <is>
          <t>เอกสารกระดาษ / บันทึกด้วยลายมือ - ต้องแปลงเป็นดิจิทัลก่อน</t>
        </is>
      </c>
      <c r="C4" s="42" t="inlineStr">
        <is>
          <t>ไม่มีข้อมูลย้อนหลัง - ต้องเริ่มเก็บใหม่</t>
        </is>
      </c>
      <c r="D4" s="42" t="inlineStr">
        <is>
          <t>ได้ทันที - ข้อมูลอยู่ในความดูแลของหน่วยงาน</t>
        </is>
      </c>
      <c r="E4" s="42" t="inlineStr">
        <is>
          <t>ไม่จำเป็น - ระบบทำงานแยกอิสระได้</t>
        </is>
      </c>
      <c r="F4" s="42" t="inlineStr">
        <is>
          <t>มี - หน่วยงานมีผู้รับผิดชอบดูแลต่อ (ระบุชื่อในหมายเหตุ)</t>
        </is>
      </c>
      <c r="G4" s="42" t="inlineStr">
        <is>
          <t>ต่ำ - ตรวจพบและแก้ไขได้ทันที ไม่กระทบผู้อื่น</t>
        </is>
      </c>
      <c r="H4" s="42" t="inlineStr">
        <is>
          <t>ไม่จำเป็น - ใช้ผลลัพธ์จาก AI ได้ทันที</t>
        </is>
      </c>
      <c r="I4" s="42" t="inlineStr">
        <is>
          <t>สาธารณะ - เปิดเผยได้ ไม่มีผลกระทบ</t>
        </is>
      </c>
      <c r="J4" s="42" t="inlineStr">
        <is>
          <t>สูง - ต้องการเร่งด่วน</t>
        </is>
      </c>
      <c r="K4" s="42" t="inlineStr">
        <is>
          <t>ข้อความ / เอกสาร</t>
        </is>
      </c>
      <c r="L4" s="42" t="inlineStr">
        <is>
          <t>ไทย</t>
        </is>
      </c>
      <c r="M4" s="42" t="inlineStr">
        <is>
          <t>ทันที - ไม่เกิน 2 วินาที (ตอบกลับในกระบวนการทันที)</t>
        </is>
      </c>
      <c r="N4" s="42" t="inlineStr">
        <is>
          <t>เวลาทำการ 8:00 - 18:00 น.</t>
        </is>
      </c>
      <c r="O4" s="42" t="inlineStr">
        <is>
          <t>ไม่เกี่ยวข้อง</t>
        </is>
      </c>
      <c r="Q4" s="42" t="inlineStr">
        <is>
          <t>ไม่จำเป็น - ใช้โมเดลสำเร็จรูปได้ (งานความรู้ทั่วไป)</t>
        </is>
      </c>
      <c r="R4" s="42" t="inlineStr">
        <is>
          <t>น้อยกว่า 4 ชั่วโมง/สัปดาห์ (ไม่ถึงครึ่งวันทำงาน)</t>
        </is>
      </c>
      <c r="S4" s="42" t="inlineStr">
        <is>
          <t>ไม่สามารถประเมินเป็นตัวเงินได้ หรือไม่มีความสูญเสียโดยตรง</t>
        </is>
      </c>
      <c r="T4" s="42" t="inlineStr">
        <is>
          <t>1 - 10 คน</t>
        </is>
      </c>
      <c r="U4" s="42" t="inlineStr">
        <is>
          <t>1 - 2 คน</t>
        </is>
      </c>
      <c r="V4" s="42" t="inlineStr">
        <is>
          <t>น้อยกว่า 100 รายการ</t>
        </is>
      </c>
      <c r="W4" s="42" t="inlineStr">
        <is>
          <t>น้อยกว่า 1 GB</t>
        </is>
      </c>
      <c r="X4" s="42" t="inlineStr">
        <is>
          <t>ไม่เกี่ยวข้อง - ไม่ใช่งานสืบค้นเอกสาร</t>
        </is>
      </c>
      <c r="Y4" s="42" t="inlineStr">
        <is>
          <t>ไม่เกี่ยวข้อง - ไม่ใช่งานประมวลผลภาพ</t>
        </is>
      </c>
      <c r="Z4" s="42" t="inlineStr">
        <is>
          <t>ติดตั้งที่ Server กลาง - ส่งข้อมูลผ่านเครือข่ายได้</t>
        </is>
      </c>
      <c r="AB4" s="42" t="inlineStr">
        <is>
          <t>1 ปี</t>
        </is>
      </c>
      <c r="AC4" s="42" t="inlineStr">
        <is>
          <t>ไม่ต้องฝึกโมเดล - ใช้โมเดลสำเร็จรูป</t>
        </is>
      </c>
      <c r="AD4" s="42" t="inlineStr">
        <is>
          <t>ไม่กระทบ - รอได้ ใช้งานได้ตามปกติ</t>
        </is>
      </c>
      <c r="AE4" s="42" t="inlineStr">
        <is>
          <t>ผู้ใช้เรียกใช้งานเอง - เปิดใช้เป็นครั้งคราว</t>
        </is>
      </c>
      <c r="AH4" s="42" t="inlineStr">
        <is>
          <t>Impact (ผลกระทบ)</t>
        </is>
      </c>
      <c r="AI4" s="43" t="n">
        <v>0.35</v>
      </c>
    </row>
    <row r="5">
      <c r="A5" s="42" t="inlineStr">
        <is>
          <t>บริษัท เอส.เค.โพลีเมอร์ จำกัด</t>
        </is>
      </c>
      <c r="B5" s="42" t="inlineStr">
        <is>
          <t>ไฟล์ Excel / CSV - นำไปใช้ได้ทันที</t>
        </is>
      </c>
      <c r="C5" s="42" t="inlineStr">
        <is>
          <t>น้อยกว่า 1 ปี - อาจไม่เพียงพอต่อการฝึกโมเดล</t>
        </is>
      </c>
      <c r="D5" s="42" t="inlineStr">
        <is>
          <t>ต้องขออนุมัติก่อน - อยู่ในความดูแลของหน่วยงานอื่นหรือ IT</t>
        </is>
      </c>
      <c r="E5" s="42" t="inlineStr">
        <is>
          <t>จำเป็นบางส่วน - เชื่อมต่อผ่านการนำเข้า/ส่งออกไฟล์เป็นรอบ</t>
        </is>
      </c>
      <c r="F5" s="42" t="inlineStr">
        <is>
          <t>ยังไม่แน่ใจ - อยู่ระหว่างจัดหาผู้รับผิดชอบ</t>
        </is>
      </c>
      <c r="G5" s="42" t="inlineStr">
        <is>
          <t>ปานกลาง - เสียเวลาดำเนินการใหม่ หรือเกิดต้นทุนเพิ่ม</t>
        </is>
      </c>
      <c r="H5" s="42" t="inlineStr">
        <is>
          <t>สุ่มตรวจบางส่วน - เฉพาะรายการที่ AI ไม่มั่นใจ</t>
        </is>
      </c>
      <c r="I5" s="42" t="inlineStr">
        <is>
          <t>ภายในองค์กร - ห้ามเผยแพร่ออกนอกบริษัท</t>
        </is>
      </c>
      <c r="J5" s="42" t="inlineStr">
        <is>
          <t>ปานกลาง - ภายในไตรมาส 2 ถึง 3</t>
        </is>
      </c>
      <c r="K5" s="42" t="inlineStr">
        <is>
          <t>ภาพถ่าย</t>
        </is>
      </c>
      <c r="L5" s="42" t="inlineStr">
        <is>
          <t>อังกฤษ</t>
        </is>
      </c>
      <c r="M5" s="42" t="inlineStr">
        <is>
          <t>เร็ว - 2 ถึง 10 วินาที (ผู้ใช้รอที่หน้าจอได้)</t>
        </is>
      </c>
      <c r="N5" s="42" t="inlineStr">
        <is>
          <t>ขยายเวลา 6:00 - 22:00 น.</t>
        </is>
      </c>
      <c r="O5" s="42" t="inlineStr">
        <is>
          <t>ต่ำกว่า 1 ล้านพิกเซล</t>
        </is>
      </c>
      <c r="Q5" s="42" t="inlineStr">
        <is>
          <t>ไม่ต้องฝึกโมเดล แต่ให้เข้าถึงเอกสารขององค์กร (RAG)</t>
        </is>
      </c>
      <c r="R5" s="42" t="inlineStr">
        <is>
          <t>4 - 10 ชั่วโมง/สัปดาห์ (ประมาณ 1 วันทำงาน)</t>
        </is>
      </c>
      <c r="S5" s="42" t="inlineStr">
        <is>
          <t>น้อยกว่า 100,000 บาท/ปี</t>
        </is>
      </c>
      <c r="T5" s="42" t="inlineStr">
        <is>
          <t>11 - 50 คน</t>
        </is>
      </c>
      <c r="U5" s="42" t="inlineStr">
        <is>
          <t>3 - 5 คน</t>
        </is>
      </c>
      <c r="V5" s="42" t="inlineStr">
        <is>
          <t>100 - 1,000 รายการ</t>
        </is>
      </c>
      <c r="W5" s="42" t="inlineStr">
        <is>
          <t>1 - 10 GB</t>
        </is>
      </c>
      <c r="X5" s="42" t="inlineStr">
        <is>
          <t>น้อยกว่า 1 GB</t>
        </is>
      </c>
      <c r="Y5" s="42" t="inlineStr">
        <is>
          <t>1 จุด</t>
        </is>
      </c>
      <c r="Z5" s="42" t="inlineStr">
        <is>
          <t>ต้องติดตั้งที่หน้างาน - ติดตั้งข้างเครื่องจักรหรือสายพาน</t>
        </is>
      </c>
      <c r="AB5" s="42" t="inlineStr">
        <is>
          <t>2 - 3 ปี</t>
        </is>
      </c>
      <c r="AC5" s="42" t="inlineStr">
        <is>
          <t>ครั้งเดียว - ฝึกเสร็จแล้วใช้งานต่อเนื่อง</t>
        </is>
      </c>
      <c r="AD5" s="42" t="inlineStr">
        <is>
          <t>กระทบบ้าง - ช่วงเร่งด่วนต้องได้รับความสำคัญก่อน</t>
        </is>
      </c>
      <c r="AE5" s="42" t="inlineStr">
        <is>
          <t>ทำงานอัตโนมัติต่อเนื่อง - ระบบทำงานเอง ไม่มีผู้เรียกใช้</t>
        </is>
      </c>
      <c r="AH5" s="42" t="inlineStr">
        <is>
          <t>Feasibility (ความเป็นไปได้)</t>
        </is>
      </c>
      <c r="AI5" s="43" t="n">
        <v>0.25</v>
      </c>
    </row>
    <row r="6">
      <c r="A6" s="42" t="inlineStr">
        <is>
          <t>บริษัท ไทยรับเทค จำกัด</t>
        </is>
      </c>
      <c r="B6" s="42" t="inlineStr">
        <is>
          <t>ฐานข้อมูลในระบบ (ERP / MES / SQL) - ดึงข้อมูลอัตโนมัติได้</t>
        </is>
      </c>
      <c r="C6" s="42" t="inlineStr">
        <is>
          <t>1 - 3 ปี - เพียงพอในระดับหนึ่ง</t>
        </is>
      </c>
      <c r="D6" s="42" t="inlineStr">
        <is>
          <t>ไม่สามารถขอได้ หรือยังไม่แน่ใจ - เป็นของลูกค้าหรือผู้ขาย</t>
        </is>
      </c>
      <c r="E6" s="42" t="inlineStr">
        <is>
          <t>จำเป็น - ต้องอ่านและเขียนข้อมูลกับระบบเดิมแบบทันที</t>
        </is>
      </c>
      <c r="F6" s="42" t="inlineStr">
        <is>
          <t>ไม่มี - ต้องพึ่งพาหน่วยงานภายนอกตลอด</t>
        </is>
      </c>
      <c r="G6" s="42" t="inlineStr">
        <is>
          <t>สูง - ของเสียถึงมือลูกค้า เกิดอันตราย หรือผิดข้อกำหนดกฎหมาย</t>
        </is>
      </c>
      <c r="H6" s="42" t="inlineStr">
        <is>
          <t>ตรวจสอบทุกรายการ - บุคลากรต้องตรวจซ้ำทั้งหมด</t>
        </is>
      </c>
      <c r="I6" s="42" t="inlineStr">
        <is>
          <t>ลับ - ต้องจำกัดสิทธิ์การเข้าถึง</t>
        </is>
      </c>
      <c r="J6" s="42" t="inlineStr">
        <is>
          <t>ต่ำ - ดำเนินการได้ภายหลัง</t>
        </is>
      </c>
      <c r="K6" s="42" t="inlineStr">
        <is>
          <t>เสียง</t>
        </is>
      </c>
      <c r="L6" s="42" t="inlineStr">
        <is>
          <t>ไทยและอังกฤษ</t>
        </is>
      </c>
      <c r="M6" s="42" t="inlineStr">
        <is>
          <t>ภายในไม่กี่นาที</t>
        </is>
      </c>
      <c r="N6" s="42" t="inlineStr">
        <is>
          <t>ตลอด 24 ชั่วโมง ทุกวัน</t>
        </is>
      </c>
      <c r="O6" s="42" t="inlineStr">
        <is>
          <t>1 - 5 ล้านพิกเซล</t>
        </is>
      </c>
      <c r="Q6" s="42" t="inlineStr">
        <is>
          <t>จำเป็น - ต้อง Fine-tune ด้วยข้อมูลหรือภาพขององค์กร</t>
        </is>
      </c>
      <c r="R6" s="42" t="inlineStr">
        <is>
          <t>10 - 20 ชั่วโมง/สัปดาห์ (ประมาณ 2 วันทำงาน)</t>
        </is>
      </c>
      <c r="S6" s="42" t="inlineStr">
        <is>
          <t>100,000 - 500,000 บาท/ปี</t>
        </is>
      </c>
      <c r="T6" s="42" t="inlineStr">
        <is>
          <t>51 - 200 คน</t>
        </is>
      </c>
      <c r="U6" s="42" t="inlineStr">
        <is>
          <t>6 - 20 คน</t>
        </is>
      </c>
      <c r="V6" s="42" t="inlineStr">
        <is>
          <t>1,000 - 10,000 รายการ</t>
        </is>
      </c>
      <c r="W6" s="42" t="inlineStr">
        <is>
          <t>10 - 100 GB</t>
        </is>
      </c>
      <c r="X6" s="42" t="inlineStr">
        <is>
          <t>1 - 10 GB</t>
        </is>
      </c>
      <c r="Y6" s="42" t="inlineStr">
        <is>
          <t>2 - 3 จุด</t>
        </is>
      </c>
      <c r="Z6" s="42" t="inlineStr">
        <is>
          <t>ยังไม่สามารถระบุได้</t>
        </is>
      </c>
      <c r="AB6" s="42" t="inlineStr">
        <is>
          <t>5 ปี</t>
        </is>
      </c>
      <c r="AC6" s="42" t="inlineStr">
        <is>
          <t>ปีละครั้ง</t>
        </is>
      </c>
      <c r="AD6" s="42" t="inlineStr">
        <is>
          <t>กระทบมาก - ไม่สามารถล่าช้าหรือหยุดได้ (อยู่ในสายการผลิต)</t>
        </is>
      </c>
      <c r="AE6" s="42" t="inlineStr">
        <is>
          <t>ประมวลผลตามรอบเวลา - เช่น ทุกคืน หรือทุกสัปดาห์</t>
        </is>
      </c>
      <c r="AH6" s="42" t="inlineStr">
        <is>
          <t>Data (ความพร้อมข้อมูล)</t>
        </is>
      </c>
      <c r="AI6" s="43" t="n">
        <v>0.25</v>
      </c>
    </row>
    <row r="7">
      <c r="A7" s="42" t="inlineStr">
        <is>
          <t>บริษัท โพลีเมท จำกัด</t>
        </is>
      </c>
      <c r="B7" s="42" t="inlineStr">
        <is>
          <t>ภาพถ่าย / ไฟล์รูปภาพ</t>
        </is>
      </c>
      <c r="C7" s="42" t="inlineStr">
        <is>
          <t>มากกว่า 3 ปี - เพียงพอ</t>
        </is>
      </c>
      <c r="E7" s="42" t="inlineStr">
        <is>
          <t>ยังไม่สามารถระบุได้ - ต้องหารือกับฝ่าย IT</t>
        </is>
      </c>
      <c r="I7" s="42" t="inlineStr">
        <is>
          <t>ลับที่สุด - มีข้อมูลส่วนบุคคล อยู่ภายใต้ PDPA</t>
        </is>
      </c>
      <c r="K7" s="42" t="inlineStr">
        <is>
          <t>วิดีโอ</t>
        </is>
      </c>
      <c r="L7" s="42" t="inlineStr">
        <is>
          <t>ไม่เกี่ยวข้องกับภาษา</t>
        </is>
      </c>
      <c r="M7" s="42" t="inlineStr">
        <is>
          <t>ภายใน 1 ชั่วโมง หรือภายในรอบกะ</t>
        </is>
      </c>
      <c r="O7" s="42" t="inlineStr">
        <is>
          <t>5 - 12 ล้านพิกเซล</t>
        </is>
      </c>
      <c r="Q7" s="42" t="inlineStr">
        <is>
          <t>ยังไม่สามารถระบุได้</t>
        </is>
      </c>
      <c r="R7" s="42" t="inlineStr">
        <is>
          <t>20 - 40 ชั่วโมง/สัปดาห์ (เทียบเท่าบุคลากร 1 คนเต็มเวลา)</t>
        </is>
      </c>
      <c r="S7" s="42" t="inlineStr">
        <is>
          <t>500,000 - 2,000,000 บาท/ปี</t>
        </is>
      </c>
      <c r="T7" s="42" t="inlineStr">
        <is>
          <t>201 - 1,000 คน</t>
        </is>
      </c>
      <c r="U7" s="42" t="inlineStr">
        <is>
          <t>21 - 50 คน</t>
        </is>
      </c>
      <c r="V7" s="42" t="inlineStr">
        <is>
          <t>10,000 - 100,000 รายการ</t>
        </is>
      </c>
      <c r="W7" s="42" t="inlineStr">
        <is>
          <t>มากกว่า 100 GB</t>
        </is>
      </c>
      <c r="X7" s="42" t="inlineStr">
        <is>
          <t>10 - 100 GB</t>
        </is>
      </c>
      <c r="Y7" s="42" t="inlineStr">
        <is>
          <t>4 - 8 จุด</t>
        </is>
      </c>
      <c r="AB7" s="42" t="inlineStr">
        <is>
          <t>จัดเก็บถาวร - ห้ามลบ ตามข้อกำหนดลูกค้าหรือกฎหมาย</t>
        </is>
      </c>
      <c r="AC7" s="42" t="inlineStr">
        <is>
          <t>ทุกไตรมาส</t>
        </is>
      </c>
      <c r="AD7" s="42" t="inlineStr">
        <is>
          <t>ยังไม่สามารถระบุได้</t>
        </is>
      </c>
      <c r="AE7" s="42" t="inlineStr">
        <is>
          <t>ทำงานเมื่อเกิดเหตุการณ์ - เช่น มีใบ NC เข้าสู่ระบบ</t>
        </is>
      </c>
      <c r="AH7" s="42" t="inlineStr">
        <is>
          <t>Risk (ความเสี่ยง)</t>
        </is>
      </c>
      <c r="AI7" s="43" t="n">
        <v>0.15</v>
      </c>
    </row>
    <row r="8">
      <c r="A8" s="42" t="inlineStr">
        <is>
          <t>บริษัท จีทีเค สมาร์ท โซลูชั่น จำกัด</t>
        </is>
      </c>
      <c r="B8" s="42" t="inlineStr">
        <is>
          <t>ไฟล์เสียง / วิดีโอ</t>
        </is>
      </c>
      <c r="K8" s="42" t="inlineStr">
        <is>
          <t>ตัวเลข / ตาราง</t>
        </is>
      </c>
      <c r="M8" s="42" t="inlineStr">
        <is>
          <t>ภายในรอบวัน - ประมวลผลกลางคืน เสร็จก่อนเริ่มงานเช้า</t>
        </is>
      </c>
      <c r="O8" s="42" t="inlineStr">
        <is>
          <t>มากกว่า 12 ล้านพิกเซล</t>
        </is>
      </c>
      <c r="R8" s="42" t="inlineStr">
        <is>
          <t>มากกว่า 40 ชั่วโมง/สัปดาห์ (มากกว่า 1 คนเต็มเวลา)</t>
        </is>
      </c>
      <c r="S8" s="42" t="inlineStr">
        <is>
          <t>มากกว่า 2,000,000 บาท/ปี</t>
        </is>
      </c>
      <c r="T8" s="42" t="inlineStr">
        <is>
          <t>มากกว่า 1,000 คน</t>
        </is>
      </c>
      <c r="U8" s="42" t="inlineStr">
        <is>
          <t>มากกว่า 50 คน</t>
        </is>
      </c>
      <c r="V8" s="42" t="inlineStr">
        <is>
          <t>มากกว่า 100,000 รายการ</t>
        </is>
      </c>
      <c r="X8" s="42" t="inlineStr">
        <is>
          <t>มากกว่า 100 GB</t>
        </is>
      </c>
      <c r="Y8" s="42" t="inlineStr">
        <is>
          <t>มากกว่า 8 จุด</t>
        </is>
      </c>
      <c r="AC8" s="42" t="inlineStr">
        <is>
          <t>ทุกเดือนหรือถี่กว่านั้น</t>
        </is>
      </c>
    </row>
    <row r="9">
      <c r="A9" s="42" t="inlineStr">
        <is>
          <t>อื่นๆ</t>
        </is>
      </c>
      <c r="B9" s="42" t="inlineStr">
        <is>
          <t>ยังไม่มีการจัดเก็บ - ต้องเริ่มเก็บใหม่</t>
        </is>
      </c>
      <c r="K9" s="42" t="inlineStr">
        <is>
          <t>ผสมหลายประเภท</t>
        </is>
      </c>
      <c r="AC9" s="42" t="inlineStr">
        <is>
          <t>ยังไม่สามารถระบุได้</t>
        </is>
      </c>
      <c r="AH9" s="41" t="inlineStr">
        <is>
          <t>เกณฑ์แบ่งระดับ</t>
        </is>
      </c>
    </row>
    <row r="10">
      <c r="AH10" s="42" t="inlineStr">
        <is>
          <t>คะแนน &gt;= นี้ = สูง</t>
        </is>
      </c>
      <c r="AI10" s="44" t="n">
        <v>75</v>
      </c>
    </row>
    <row r="11">
      <c r="AH11" s="42" t="inlineStr">
        <is>
          <t>คะแนน &gt;= นี้ = กลาง</t>
        </is>
      </c>
      <c r="AI11" s="44" t="n">
        <v>50</v>
      </c>
    </row>
    <row r="14">
      <c r="AH14" s="41" t="inlineStr">
        <is>
          <t>หมายเหตุ</t>
        </is>
      </c>
    </row>
    <row r="15">
      <c r="AH15" s="42" t="inlineStr">
        <is>
          <t>ช่วงชั่วโมงและช่วงมูลค่าเป็น dropdown แล้ว</t>
        </is>
      </c>
    </row>
    <row r="16">
      <c r="AH16" s="42" t="inlineStr">
        <is>
          <t>แก้ตัวเลือกและคะแนนได้ที่คอลัมน์ R และ S</t>
        </is>
      </c>
    </row>
    <row r="17">
      <c r="AH17" s="42" t="inlineStr">
        <is>
          <t>คะแนน "-" แปลว่าไม่นำมาคิดคะแนน ไม่ใช่ได้ 0</t>
        </is>
      </c>
    </row>
    <row r="28">
      <c r="A28" s="39" t="inlineStr">
        <is>
          <t>ตารางแปลงตัวเลือกเป็นคะแนน 1-5 (เรียงตรงกับรายการด้านบนบรรทัดต่อบรรทัด) — ปรับได้</t>
        </is>
      </c>
    </row>
    <row r="29">
      <c r="A29" s="40" t="inlineStr">
        <is>
          <t>บริษัท</t>
        </is>
      </c>
      <c r="B29" s="40" t="inlineStr">
        <is>
          <t>รูปแบบการจัดเก็บข้อมูลปัจจุบัน</t>
        </is>
      </c>
      <c r="C29" s="40" t="inlineStr">
        <is>
          <t>ระยะเวลาข้อมูลย้อนหลังที่มี</t>
        </is>
      </c>
      <c r="D29" s="40" t="inlineStr">
        <is>
          <t>สิทธิ์ในการนำข้อมูลมาใช้</t>
        </is>
      </c>
      <c r="E29" s="40" t="inlineStr">
        <is>
          <t>การเชื่อมต่อกับระบบเดิม</t>
        </is>
      </c>
      <c r="F29" s="40" t="inlineStr">
        <is>
          <t>ผู้ดูแลระบบหลังส่งมอบ</t>
        </is>
      </c>
      <c r="G29" s="40" t="inlineStr">
        <is>
          <t>ผลกระทบเมื่อ AI ผิดพลาด</t>
        </is>
      </c>
      <c r="H29" s="40" t="inlineStr">
        <is>
          <t>การตรวจสอบผลลัพธ์โดยบุคลากร</t>
        </is>
      </c>
      <c r="I29" s="40" t="inlineStr">
        <is>
          <t>ระดับชั้นความลับของข้อมูล</t>
        </is>
      </c>
      <c r="J29" s="40" t="inlineStr">
        <is>
          <t>ระดับความสำคัญตามความเห็นผู้ใช้</t>
        </is>
      </c>
      <c r="K29" s="40" t="inlineStr">
        <is>
          <t>ประเภทข้อมูลนำเข้า</t>
        </is>
      </c>
      <c r="L29" s="40" t="inlineStr">
        <is>
          <t>ภาษาที่ต้องรองรับ</t>
        </is>
      </c>
      <c r="M29" s="40" t="inlineStr">
        <is>
          <t>เวลาตอบสนองที่ยอมรับได้</t>
        </is>
      </c>
      <c r="N29" s="40" t="inlineStr">
        <is>
          <t>ช่วงเวลาที่ต้องให้บริการ</t>
        </is>
      </c>
      <c r="O29" s="40" t="inlineStr">
        <is>
          <t>ความละเอียดของภาพ</t>
        </is>
      </c>
      <c r="Q29" s="40" t="inlineStr">
        <is>
          <t>การปรับโมเดลด้วยข้อมูลองค์กร</t>
        </is>
      </c>
      <c r="R29" s="40" t="inlineStr">
        <is>
          <t>เวลาที่ใช้กับงานนี้ในปัจจุบัน</t>
        </is>
      </c>
      <c r="S29" s="40" t="inlineStr">
        <is>
          <t>มูลค่าความสูญเสียต่อปี</t>
        </is>
      </c>
      <c r="T29" s="40" t="inlineStr">
        <is>
          <t>จำนวนผู้ใช้งานต่อวัน</t>
        </is>
      </c>
      <c r="U29" s="40" t="inlineStr">
        <is>
          <t>ผู้ใช้งานพร้อมกันสูงสุด</t>
        </is>
      </c>
      <c r="V29" s="40" t="inlineStr">
        <is>
          <t>ปริมาณรายการที่ประมวลผลต่อวัน</t>
        </is>
      </c>
      <c r="W29" s="40" t="inlineStr">
        <is>
          <t>ปริมาณข้อมูลนำเข้าต่อวัน</t>
        </is>
      </c>
      <c r="X29" s="40" t="inlineStr">
        <is>
          <t>ขนาดคลังเอกสารทั้งหมด</t>
        </is>
      </c>
      <c r="Y29" s="40" t="inlineStr">
        <is>
          <t>จุดตรวจที่ทำงานพร้อมกัน</t>
        </is>
      </c>
      <c r="Z29" s="40" t="inlineStr">
        <is>
          <t>รูปแบบการติดตั้ง</t>
        </is>
      </c>
      <c r="AB29" s="40" t="inlineStr">
        <is>
          <t>ระยะเวลาการจัดเก็บข้อมูล</t>
        </is>
      </c>
      <c r="AC29" s="40" t="inlineStr">
        <is>
          <t>ความถี่ในการฝึกโมเดลใหม่</t>
        </is>
      </c>
      <c r="AD29" s="40" t="inlineStr">
        <is>
          <t>ผลกระทบเมื่อระบบตอบสนองช้าลง</t>
        </is>
      </c>
      <c r="AE29" s="40" t="inlineStr">
        <is>
          <t>ลักษณะการเริ่มทำงานของระบบ</t>
        </is>
      </c>
    </row>
    <row r="30">
      <c r="A30" s="45" t="inlineStr">
        <is>
          <t>-</t>
        </is>
      </c>
      <c r="B30" s="46" t="n">
        <v>1</v>
      </c>
      <c r="C30" s="46" t="n">
        <v>1</v>
      </c>
      <c r="D30" s="46" t="n">
        <v>5</v>
      </c>
      <c r="E30" s="46" t="n">
        <v>5</v>
      </c>
      <c r="F30" s="46" t="n">
        <v>5</v>
      </c>
      <c r="G30" s="46" t="n">
        <v>1</v>
      </c>
      <c r="H30" s="46" t="n">
        <v>1</v>
      </c>
      <c r="I30" s="46" t="n">
        <v>1</v>
      </c>
      <c r="J30" s="45" t="inlineStr">
        <is>
          <t>-</t>
        </is>
      </c>
      <c r="K30" s="45" t="inlineStr">
        <is>
          <t>-</t>
        </is>
      </c>
      <c r="L30" s="45" t="inlineStr">
        <is>
          <t>-</t>
        </is>
      </c>
      <c r="M30" s="45" t="inlineStr">
        <is>
          <t>-</t>
        </is>
      </c>
      <c r="N30" s="45" t="inlineStr">
        <is>
          <t>-</t>
        </is>
      </c>
      <c r="O30" s="45" t="inlineStr">
        <is>
          <t>-</t>
        </is>
      </c>
      <c r="Q30" s="45" t="inlineStr">
        <is>
          <t>-</t>
        </is>
      </c>
      <c r="R30" s="46" t="n">
        <v>1</v>
      </c>
      <c r="S30" s="45" t="inlineStr">
        <is>
          <t>-</t>
        </is>
      </c>
      <c r="T30" s="45" t="inlineStr">
        <is>
          <t>-</t>
        </is>
      </c>
      <c r="U30" s="45" t="inlineStr">
        <is>
          <t>-</t>
        </is>
      </c>
      <c r="V30" s="45" t="inlineStr">
        <is>
          <t>-</t>
        </is>
      </c>
      <c r="W30" s="45" t="inlineStr">
        <is>
          <t>-</t>
        </is>
      </c>
      <c r="X30" s="45" t="inlineStr">
        <is>
          <t>-</t>
        </is>
      </c>
      <c r="Y30" s="45" t="inlineStr">
        <is>
          <t>-</t>
        </is>
      </c>
      <c r="Z30" s="45" t="inlineStr">
        <is>
          <t>-</t>
        </is>
      </c>
      <c r="AB30" s="45" t="inlineStr">
        <is>
          <t>-</t>
        </is>
      </c>
      <c r="AC30" s="45" t="inlineStr">
        <is>
          <t>-</t>
        </is>
      </c>
      <c r="AD30" s="45" t="inlineStr">
        <is>
          <t>-</t>
        </is>
      </c>
      <c r="AE30" s="45" t="inlineStr">
        <is>
          <t>-</t>
        </is>
      </c>
    </row>
    <row r="31">
      <c r="A31" s="45" t="inlineStr">
        <is>
          <t>-</t>
        </is>
      </c>
      <c r="B31" s="46" t="n">
        <v>4</v>
      </c>
      <c r="C31" s="46" t="n">
        <v>2</v>
      </c>
      <c r="D31" s="46" t="n">
        <v>3</v>
      </c>
      <c r="E31" s="46" t="n">
        <v>3</v>
      </c>
      <c r="F31" s="46" t="n">
        <v>3</v>
      </c>
      <c r="G31" s="46" t="n">
        <v>3</v>
      </c>
      <c r="H31" s="46" t="n">
        <v>2</v>
      </c>
      <c r="I31" s="46" t="n">
        <v>2</v>
      </c>
      <c r="J31" s="45" t="inlineStr">
        <is>
          <t>-</t>
        </is>
      </c>
      <c r="K31" s="45" t="inlineStr">
        <is>
          <t>-</t>
        </is>
      </c>
      <c r="L31" s="45" t="inlineStr">
        <is>
          <t>-</t>
        </is>
      </c>
      <c r="M31" s="45" t="inlineStr">
        <is>
          <t>-</t>
        </is>
      </c>
      <c r="N31" s="45" t="inlineStr">
        <is>
          <t>-</t>
        </is>
      </c>
      <c r="O31" s="45" t="inlineStr">
        <is>
          <t>-</t>
        </is>
      </c>
      <c r="Q31" s="45" t="inlineStr">
        <is>
          <t>-</t>
        </is>
      </c>
      <c r="R31" s="46" t="n">
        <v>2</v>
      </c>
      <c r="S31" s="46" t="n">
        <v>2</v>
      </c>
      <c r="T31" s="45" t="inlineStr">
        <is>
          <t>-</t>
        </is>
      </c>
      <c r="U31" s="45" t="inlineStr">
        <is>
          <t>-</t>
        </is>
      </c>
      <c r="V31" s="45" t="inlineStr">
        <is>
          <t>-</t>
        </is>
      </c>
      <c r="W31" s="45" t="inlineStr">
        <is>
          <t>-</t>
        </is>
      </c>
      <c r="X31" s="45" t="inlineStr">
        <is>
          <t>-</t>
        </is>
      </c>
      <c r="Y31" s="45" t="inlineStr">
        <is>
          <t>-</t>
        </is>
      </c>
      <c r="Z31" s="45" t="inlineStr">
        <is>
          <t>-</t>
        </is>
      </c>
      <c r="AB31" s="45" t="inlineStr">
        <is>
          <t>-</t>
        </is>
      </c>
      <c r="AC31" s="45" t="inlineStr">
        <is>
          <t>-</t>
        </is>
      </c>
      <c r="AD31" s="45" t="inlineStr">
        <is>
          <t>-</t>
        </is>
      </c>
      <c r="AE31" s="45" t="inlineStr">
        <is>
          <t>-</t>
        </is>
      </c>
    </row>
    <row r="32">
      <c r="A32" s="45" t="inlineStr">
        <is>
          <t>-</t>
        </is>
      </c>
      <c r="B32" s="46" t="n">
        <v>5</v>
      </c>
      <c r="C32" s="46" t="n">
        <v>4</v>
      </c>
      <c r="D32" s="46" t="n">
        <v>1</v>
      </c>
      <c r="E32" s="46" t="n">
        <v>1</v>
      </c>
      <c r="F32" s="46" t="n">
        <v>1</v>
      </c>
      <c r="G32" s="46" t="n">
        <v>5</v>
      </c>
      <c r="H32" s="46" t="n">
        <v>4</v>
      </c>
      <c r="I32" s="46" t="n">
        <v>4</v>
      </c>
      <c r="J32" s="45" t="inlineStr">
        <is>
          <t>-</t>
        </is>
      </c>
      <c r="K32" s="45" t="inlineStr">
        <is>
          <t>-</t>
        </is>
      </c>
      <c r="L32" s="45" t="inlineStr">
        <is>
          <t>-</t>
        </is>
      </c>
      <c r="M32" s="45" t="inlineStr">
        <is>
          <t>-</t>
        </is>
      </c>
      <c r="N32" s="45" t="inlineStr">
        <is>
          <t>-</t>
        </is>
      </c>
      <c r="O32" s="45" t="inlineStr">
        <is>
          <t>-</t>
        </is>
      </c>
      <c r="Q32" s="45" t="inlineStr">
        <is>
          <t>-</t>
        </is>
      </c>
      <c r="R32" s="46" t="n">
        <v>3</v>
      </c>
      <c r="S32" s="46" t="n">
        <v>3</v>
      </c>
      <c r="T32" s="45" t="inlineStr">
        <is>
          <t>-</t>
        </is>
      </c>
      <c r="U32" s="45" t="inlineStr">
        <is>
          <t>-</t>
        </is>
      </c>
      <c r="V32" s="45" t="inlineStr">
        <is>
          <t>-</t>
        </is>
      </c>
      <c r="W32" s="45" t="inlineStr">
        <is>
          <t>-</t>
        </is>
      </c>
      <c r="X32" s="45" t="inlineStr">
        <is>
          <t>-</t>
        </is>
      </c>
      <c r="Y32" s="45" t="inlineStr">
        <is>
          <t>-</t>
        </is>
      </c>
      <c r="Z32" s="45" t="inlineStr">
        <is>
          <t>-</t>
        </is>
      </c>
      <c r="AB32" s="45" t="inlineStr">
        <is>
          <t>-</t>
        </is>
      </c>
      <c r="AC32" s="45" t="inlineStr">
        <is>
          <t>-</t>
        </is>
      </c>
      <c r="AD32" s="45" t="inlineStr">
        <is>
          <t>-</t>
        </is>
      </c>
      <c r="AE32" s="45" t="inlineStr">
        <is>
          <t>-</t>
        </is>
      </c>
    </row>
    <row r="33">
      <c r="A33" s="45" t="inlineStr">
        <is>
          <t>-</t>
        </is>
      </c>
      <c r="B33" s="46" t="n">
        <v>3</v>
      </c>
      <c r="C33" s="46" t="n">
        <v>5</v>
      </c>
      <c r="E33" s="46" t="n">
        <v>2</v>
      </c>
      <c r="I33" s="46" t="n">
        <v>5</v>
      </c>
      <c r="K33" s="45" t="inlineStr">
        <is>
          <t>-</t>
        </is>
      </c>
      <c r="L33" s="45" t="inlineStr">
        <is>
          <t>-</t>
        </is>
      </c>
      <c r="M33" s="45" t="inlineStr">
        <is>
          <t>-</t>
        </is>
      </c>
      <c r="O33" s="45" t="inlineStr">
        <is>
          <t>-</t>
        </is>
      </c>
      <c r="Q33" s="45" t="inlineStr">
        <is>
          <t>-</t>
        </is>
      </c>
      <c r="R33" s="46" t="n">
        <v>4</v>
      </c>
      <c r="S33" s="46" t="n">
        <v>4</v>
      </c>
      <c r="T33" s="45" t="inlineStr">
        <is>
          <t>-</t>
        </is>
      </c>
      <c r="U33" s="45" t="inlineStr">
        <is>
          <t>-</t>
        </is>
      </c>
      <c r="V33" s="45" t="inlineStr">
        <is>
          <t>-</t>
        </is>
      </c>
      <c r="W33" s="45" t="inlineStr">
        <is>
          <t>-</t>
        </is>
      </c>
      <c r="X33" s="45" t="inlineStr">
        <is>
          <t>-</t>
        </is>
      </c>
      <c r="Y33" s="45" t="inlineStr">
        <is>
          <t>-</t>
        </is>
      </c>
      <c r="AB33" s="45" t="inlineStr">
        <is>
          <t>-</t>
        </is>
      </c>
      <c r="AC33" s="45" t="inlineStr">
        <is>
          <t>-</t>
        </is>
      </c>
      <c r="AD33" s="45" t="inlineStr">
        <is>
          <t>-</t>
        </is>
      </c>
      <c r="AE33" s="45" t="inlineStr">
        <is>
          <t>-</t>
        </is>
      </c>
    </row>
    <row r="34">
      <c r="A34" s="45" t="inlineStr">
        <is>
          <t>-</t>
        </is>
      </c>
      <c r="B34" s="46" t="n">
        <v>2</v>
      </c>
      <c r="K34" s="45" t="inlineStr">
        <is>
          <t>-</t>
        </is>
      </c>
      <c r="M34" s="45" t="inlineStr">
        <is>
          <t>-</t>
        </is>
      </c>
      <c r="O34" s="45" t="inlineStr">
        <is>
          <t>-</t>
        </is>
      </c>
      <c r="R34" s="46" t="n">
        <v>5</v>
      </c>
      <c r="S34" s="46" t="n">
        <v>5</v>
      </c>
      <c r="T34" s="45" t="inlineStr">
        <is>
          <t>-</t>
        </is>
      </c>
      <c r="U34" s="45" t="inlineStr">
        <is>
          <t>-</t>
        </is>
      </c>
      <c r="V34" s="45" t="inlineStr">
        <is>
          <t>-</t>
        </is>
      </c>
      <c r="X34" s="45" t="inlineStr">
        <is>
          <t>-</t>
        </is>
      </c>
      <c r="Y34" s="45" t="inlineStr">
        <is>
          <t>-</t>
        </is>
      </c>
      <c r="AC34" s="45" t="inlineStr">
        <is>
          <t>-</t>
        </is>
      </c>
    </row>
    <row r="35">
      <c r="A35" s="45" t="inlineStr">
        <is>
          <t>-</t>
        </is>
      </c>
      <c r="B35" s="46" t="n">
        <v>1</v>
      </c>
      <c r="K35" s="45" t="inlineStr">
        <is>
          <t>-</t>
        </is>
      </c>
      <c r="AC35" s="4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2026-10-12T04:48:34Z</dcterms:created>
  <dcterms:modified xmlns:dcterms="http://purl.org/dc/terms/" xmlns:xsi="http://www.w3.org/2001/XMLSchema-instance" xsi:type="dcterms:W3CDTF">2026-10-12T04:48:34Z</dcterms:modified>
</cp:coreProperties>
</file>